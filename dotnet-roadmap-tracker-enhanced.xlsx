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admap Tracker" sheetId="1" state="visible" r:id="rId1"/>
    <sheet name="Dashboard" sheetId="2" state="visible" r:id="rId2"/>
    <sheet name="Monthly Progress" sheetId="3" state="visible" r:id="rId3"/>
    <sheet name="Topics Progress" sheetId="4" state="visible" r:id="rId4"/>
    <sheet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1"/>
    </font>
    <font>
      <b val="1"/>
      <color rgb="004472C4"/>
      <sz val="16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Overall Progress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'Dashboard'!$A$4:$A$6</f>
            </numRef>
          </cat>
          <val>
            <numRef>
              <f>'Dashboard'!$B$3:$B$6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2" customWidth="1" min="4" max="4"/>
    <col width="22" customWidth="1" min="5" max="5"/>
    <col width="35" customWidth="1" min="6" max="6"/>
    <col width="30" customWidth="1" min="7" max="7"/>
    <col width="35" customWidth="1" min="8" max="8"/>
    <col width="14" customWidth="1" min="9" max="9"/>
    <col width="25" customWidth="1" min="10" max="10"/>
    <col width="15" customWidth="1" min="11" max="11"/>
  </cols>
  <sheetData>
    <row r="1">
      <c r="A1" s="2" t="inlineStr">
        <is>
          <t>Week</t>
        </is>
      </c>
      <c r="B1" s="2" t="inlineStr">
        <is>
          <t>Month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Topic</t>
        </is>
      </c>
      <c r="F1" s="2" t="inlineStr">
        <is>
          <t>Subtopics</t>
        </is>
      </c>
      <c r="G1" s="2" t="inlineStr">
        <is>
          <t>Learning_Materials</t>
        </is>
      </c>
      <c r="H1" s="2" t="inlineStr">
        <is>
          <t>Practical_Tasks</t>
        </is>
      </c>
      <c r="I1" s="2" t="inlineStr">
        <is>
          <t>Status</t>
        </is>
      </c>
      <c r="J1" s="2" t="inlineStr">
        <is>
          <t>Notes</t>
        </is>
      </c>
      <c r="K1" s="2" t="inlineStr">
        <is>
          <t>Completed_Date</t>
        </is>
      </c>
    </row>
    <row r="2">
      <c r="A2" s="3" t="n">
        <v>1</v>
      </c>
      <c r="B2" s="3" t="n">
        <v>1</v>
      </c>
      <c r="C2" s="4" t="inlineStr">
        <is>
          <t>2024-11-02</t>
        </is>
      </c>
      <c r="D2" s="4" t="inlineStr">
        <is>
          <t>2024-11-08</t>
        </is>
      </c>
      <c r="E2" s="4" t="inlineStr">
        <is>
          <t>C# Fundamentals</t>
        </is>
      </c>
      <c r="F2" s="4" t="inlineStr">
        <is>
          <t>Variables|Data Types|Control Flow|Methods</t>
        </is>
      </c>
      <c r="G2" s="4" t="inlineStr">
        <is>
          <t>Microsoft Learn C# Basics</t>
        </is>
      </c>
      <c r="H2" s="4" t="inlineStr">
        <is>
          <t>Calculator App|Number Guessing Game</t>
        </is>
      </c>
      <c r="I2" s="3" t="inlineStr">
        <is>
          <t>Not Started</t>
        </is>
      </c>
      <c r="J2" s="4" t="inlineStr"/>
      <c r="K2" s="4" t="inlineStr"/>
    </row>
    <row r="3">
      <c r="A3" s="3" t="n">
        <v>2</v>
      </c>
      <c r="B3" s="3" t="n">
        <v>1</v>
      </c>
      <c r="C3" s="4" t="inlineStr">
        <is>
          <t>2024-11-09</t>
        </is>
      </c>
      <c r="D3" s="4" t="inlineStr">
        <is>
          <t>2024-11-15</t>
        </is>
      </c>
      <c r="E3" s="4" t="inlineStr">
        <is>
          <t>C# Fundamentals</t>
        </is>
      </c>
      <c r="F3" s="4" t="inlineStr">
        <is>
          <t>Arrays|Collections|Strings</t>
        </is>
      </c>
      <c r="G3" s="4" t="inlineStr">
        <is>
          <t>freeCodeCamp C# Tutorial</t>
        </is>
      </c>
      <c r="H3" s="4" t="inlineStr">
        <is>
          <t>To-Do List Console App</t>
        </is>
      </c>
      <c r="I3" s="3" t="inlineStr">
        <is>
          <t>Not Started</t>
        </is>
      </c>
      <c r="J3" s="4" t="inlineStr"/>
      <c r="K3" s="4" t="inlineStr"/>
    </row>
    <row r="4">
      <c r="A4" s="3" t="n">
        <v>3</v>
      </c>
      <c r="B4" s="3" t="n">
        <v>1</v>
      </c>
      <c r="C4" s="4" t="inlineStr">
        <is>
          <t>2024-11-16</t>
        </is>
      </c>
      <c r="D4" s="4" t="inlineStr">
        <is>
          <t>2024-11-22</t>
        </is>
      </c>
      <c r="E4" s="4" t="inlineStr">
        <is>
          <t>OOP Basics</t>
        </is>
      </c>
      <c r="F4" s="4" t="inlineStr">
        <is>
          <t>Classes|Objects|Constructors|Properties</t>
        </is>
      </c>
      <c r="G4" s="4" t="inlineStr">
        <is>
          <t>Microsoft Learn OOP</t>
        </is>
      </c>
      <c r="H4" s="4" t="inlineStr">
        <is>
          <t>Library Management System</t>
        </is>
      </c>
      <c r="I4" s="3" t="inlineStr">
        <is>
          <t>Not Started</t>
        </is>
      </c>
      <c r="J4" s="4" t="inlineStr"/>
      <c r="K4" s="4" t="inlineStr"/>
    </row>
    <row r="5">
      <c r="A5" s="3" t="n">
        <v>4</v>
      </c>
      <c r="B5" s="3" t="n">
        <v>1</v>
      </c>
      <c r="C5" s="4" t="inlineStr">
        <is>
          <t>2024-11-23</t>
        </is>
      </c>
      <c r="D5" s="4" t="inlineStr">
        <is>
          <t>2024-11-29</t>
        </is>
      </c>
      <c r="E5" s="4" t="inlineStr">
        <is>
          <t>OOP Basics</t>
        </is>
      </c>
      <c r="F5" s="4" t="inlineStr">
        <is>
          <t>Methods|Encapsulation|Inheritance</t>
        </is>
      </c>
      <c r="G5" s="4" t="inlineStr">
        <is>
          <t>C# Players Guide</t>
        </is>
      </c>
      <c r="H5" s="4" t="inlineStr">
        <is>
          <t>Bank Account System|Shape Calculator</t>
        </is>
      </c>
      <c r="I5" s="3" t="inlineStr">
        <is>
          <t>Not Started</t>
        </is>
      </c>
      <c r="J5" s="4" t="inlineStr"/>
      <c r="K5" s="4" t="inlineStr"/>
    </row>
    <row r="6">
      <c r="A6" s="3" t="n">
        <v>5</v>
      </c>
      <c r="B6" s="3" t="n">
        <v>2</v>
      </c>
      <c r="C6" s="4" t="inlineStr">
        <is>
          <t>2024-11-30</t>
        </is>
      </c>
      <c r="D6" s="4" t="inlineStr">
        <is>
          <t>2024-12-06</t>
        </is>
      </c>
      <c r="E6" s="4" t="inlineStr">
        <is>
          <t>OOP Advanced</t>
        </is>
      </c>
      <c r="F6" s="4" t="inlineStr">
        <is>
          <t>Polymorphism|Interfaces</t>
        </is>
      </c>
      <c r="G6" s="4" t="inlineStr">
        <is>
          <t>Microsoft Learn Advanced OOP</t>
        </is>
      </c>
      <c r="H6" s="4" t="inlineStr">
        <is>
          <t>Payment System Interface</t>
        </is>
      </c>
      <c r="I6" s="3" t="inlineStr">
        <is>
          <t>Not Started</t>
        </is>
      </c>
      <c r="J6" s="4" t="inlineStr"/>
      <c r="K6" s="4" t="inlineStr"/>
    </row>
    <row r="7">
      <c r="A7" s="3" t="n">
        <v>6</v>
      </c>
      <c r="B7" s="3" t="n">
        <v>2</v>
      </c>
      <c r="C7" s="4" t="inlineStr">
        <is>
          <t>2024-12-07</t>
        </is>
      </c>
      <c r="D7" s="4" t="inlineStr">
        <is>
          <t>2024-12-13</t>
        </is>
      </c>
      <c r="E7" s="4" t="inlineStr">
        <is>
          <t>OOP Advanced</t>
        </is>
      </c>
      <c r="F7" s="4" t="inlineStr">
        <is>
          <t>Abstract Classes|Static Members</t>
        </is>
      </c>
      <c r="G7" s="4" t="inlineStr">
        <is>
          <t>C# in a Nutshell Ch 3-4</t>
        </is>
      </c>
      <c r="H7" s="4" t="inlineStr">
        <is>
          <t>Animal Kingdom System</t>
        </is>
      </c>
      <c r="I7" s="3" t="inlineStr">
        <is>
          <t>Not Started</t>
        </is>
      </c>
      <c r="J7" s="4" t="inlineStr"/>
      <c r="K7" s="4" t="inlineStr"/>
    </row>
    <row r="8">
      <c r="A8" s="3" t="n">
        <v>7</v>
      </c>
      <c r="B8" s="3" t="n">
        <v>2</v>
      </c>
      <c r="C8" s="4" t="inlineStr">
        <is>
          <t>2024-12-14</t>
        </is>
      </c>
      <c r="D8" s="4" t="inlineStr">
        <is>
          <t>2024-12-20</t>
        </is>
      </c>
      <c r="E8" s="4" t="inlineStr">
        <is>
          <t>C# Advanced Features</t>
        </is>
      </c>
      <c r="F8" s="4" t="inlineStr">
        <is>
          <t>Generics|Collections</t>
        </is>
      </c>
      <c r="G8" s="4" t="inlineStr">
        <is>
          <t>C# in a Nutshell Ch 7</t>
        </is>
      </c>
      <c r="H8" s="4" t="inlineStr">
        <is>
          <t>Generic Repository Pattern</t>
        </is>
      </c>
      <c r="I8" s="3" t="inlineStr">
        <is>
          <t>Not Started</t>
        </is>
      </c>
      <c r="J8" s="4" t="inlineStr"/>
      <c r="K8" s="4" t="inlineStr"/>
    </row>
    <row r="9">
      <c r="A9" s="3" t="n">
        <v>8</v>
      </c>
      <c r="B9" s="3" t="n">
        <v>2</v>
      </c>
      <c r="C9" s="4" t="inlineStr">
        <is>
          <t>2024-12-21</t>
        </is>
      </c>
      <c r="D9" s="4" t="inlineStr">
        <is>
          <t>2024-12-27</t>
        </is>
      </c>
      <c r="E9" s="4" t="inlineStr">
        <is>
          <t>C# Advanced Features</t>
        </is>
      </c>
      <c r="F9" s="4" t="inlineStr">
        <is>
          <t>LINQ|Exception Handling</t>
        </is>
      </c>
      <c r="G9" s="4" t="inlineStr">
        <is>
          <t>Microsoft Learn LINQ</t>
        </is>
      </c>
      <c r="H9" s="4" t="inlineStr">
        <is>
          <t>Student Management LINQ</t>
        </is>
      </c>
      <c r="I9" s="3" t="inlineStr">
        <is>
          <t>Not Started</t>
        </is>
      </c>
      <c r="J9" s="4" t="inlineStr"/>
      <c r="K9" s="4" t="inlineStr"/>
    </row>
    <row r="10">
      <c r="A10" s="3" t="n">
        <v>9</v>
      </c>
      <c r="B10" s="3" t="n">
        <v>3</v>
      </c>
      <c r="C10" s="4" t="inlineStr">
        <is>
          <t>2024-12-28</t>
        </is>
      </c>
      <c r="D10" s="4" t="inlineStr">
        <is>
          <t>2025-01-03</t>
        </is>
      </c>
      <c r="E10" s="4" t="inlineStr">
        <is>
          <t>Data Structures</t>
        </is>
      </c>
      <c r="F10" s="4" t="inlineStr">
        <is>
          <t>Arrays|Strings|Linked Lists</t>
        </is>
      </c>
      <c r="G10" s="4" t="inlineStr">
        <is>
          <t>YouTube DS Playlist</t>
        </is>
      </c>
      <c r="H10" s="4" t="inlineStr">
        <is>
          <t>Implement LinkedList from scratch</t>
        </is>
      </c>
      <c r="I10" s="3" t="inlineStr">
        <is>
          <t>Not Started</t>
        </is>
      </c>
      <c r="J10" s="4" t="inlineStr"/>
      <c r="K10" s="4" t="inlineStr"/>
    </row>
    <row r="11">
      <c r="A11" s="3" t="n">
        <v>10</v>
      </c>
      <c r="B11" s="3" t="n">
        <v>3</v>
      </c>
      <c r="C11" s="4" t="inlineStr">
        <is>
          <t>2025-01-04</t>
        </is>
      </c>
      <c r="D11" s="4" t="inlineStr">
        <is>
          <t>2025-01-10</t>
        </is>
      </c>
      <c r="E11" s="4" t="inlineStr">
        <is>
          <t>Data Structures</t>
        </is>
      </c>
      <c r="F11" s="4" t="inlineStr">
        <is>
          <t>Stacks|Queues</t>
        </is>
      </c>
      <c r="G11" s="4" t="inlineStr">
        <is>
          <t>Data Structures Tutorial</t>
        </is>
      </c>
      <c r="H11" s="4" t="inlineStr">
        <is>
          <t>Implement Stack &amp; Queue</t>
        </is>
      </c>
      <c r="I11" s="3" t="inlineStr">
        <is>
          <t>Not Started</t>
        </is>
      </c>
      <c r="J11" s="4" t="inlineStr"/>
      <c r="K11" s="4" t="inlineStr"/>
    </row>
    <row r="12">
      <c r="A12" s="3" t="n">
        <v>11</v>
      </c>
      <c r="B12" s="3" t="n">
        <v>3</v>
      </c>
      <c r="C12" s="4" t="inlineStr">
        <is>
          <t>2025-01-11</t>
        </is>
      </c>
      <c r="D12" s="4" t="inlineStr">
        <is>
          <t>2025-01-17</t>
        </is>
      </c>
      <c r="E12" s="4" t="inlineStr">
        <is>
          <t>Data Structures</t>
        </is>
      </c>
      <c r="F12" s="4" t="inlineStr">
        <is>
          <t>Trees|BST</t>
        </is>
      </c>
      <c r="G12" s="4" t="inlineStr">
        <is>
          <t>Abdul Bari Algorithms</t>
        </is>
      </c>
      <c r="H12" s="4" t="inlineStr">
        <is>
          <t>Implement Binary Tree &amp; BST</t>
        </is>
      </c>
      <c r="I12" s="3" t="inlineStr">
        <is>
          <t>Not Started</t>
        </is>
      </c>
      <c r="J12" s="4" t="inlineStr"/>
      <c r="K12" s="4" t="inlineStr"/>
    </row>
    <row r="13">
      <c r="A13" s="3" t="n">
        <v>12</v>
      </c>
      <c r="B13" s="3" t="n">
        <v>3</v>
      </c>
      <c r="C13" s="4" t="inlineStr">
        <is>
          <t>2025-01-18</t>
        </is>
      </c>
      <c r="D13" s="4" t="inlineStr">
        <is>
          <t>2025-01-24</t>
        </is>
      </c>
      <c r="E13" s="4" t="inlineStr">
        <is>
          <t>Data Structures</t>
        </is>
      </c>
      <c r="F13" s="4" t="inlineStr">
        <is>
          <t>Hash Tables|Graphs</t>
        </is>
      </c>
      <c r="G13" s="4" t="inlineStr">
        <is>
          <t>Data Structures in C#</t>
        </is>
      </c>
      <c r="H13" s="4" t="inlineStr">
        <is>
          <t>Implement HashTable &amp; Graph</t>
        </is>
      </c>
      <c r="I13" s="3" t="inlineStr">
        <is>
          <t>Not Started</t>
        </is>
      </c>
      <c r="J13" s="4" t="inlineStr"/>
      <c r="K13" s="4" t="inlineStr"/>
    </row>
    <row r="14">
      <c r="A14" s="3" t="n">
        <v>13</v>
      </c>
      <c r="B14" s="3" t="n">
        <v>4</v>
      </c>
      <c r="C14" s="4" t="inlineStr">
        <is>
          <t>2025-01-25</t>
        </is>
      </c>
      <c r="D14" s="4" t="inlineStr">
        <is>
          <t>2025-01-31</t>
        </is>
      </c>
      <c r="E14" s="4" t="inlineStr">
        <is>
          <t>Algorithms</t>
        </is>
      </c>
      <c r="F14" s="4" t="inlineStr">
        <is>
          <t>Sorting Algorithms</t>
        </is>
      </c>
      <c r="G14" s="4" t="inlineStr">
        <is>
          <t>CLRS Ch 2-7</t>
        </is>
      </c>
      <c r="H14" s="4" t="inlineStr">
        <is>
          <t>Implement QuickSort|MergeSort</t>
        </is>
      </c>
      <c r="I14" s="3" t="inlineStr">
        <is>
          <t>Not Started</t>
        </is>
      </c>
      <c r="J14" s="4" t="inlineStr"/>
      <c r="K14" s="4" t="inlineStr"/>
    </row>
    <row r="15">
      <c r="A15" s="3" t="n">
        <v>14</v>
      </c>
      <c r="B15" s="3" t="n">
        <v>4</v>
      </c>
      <c r="C15" s="4" t="inlineStr">
        <is>
          <t>2025-02-01</t>
        </is>
      </c>
      <c r="D15" s="4" t="inlineStr">
        <is>
          <t>2025-02-07</t>
        </is>
      </c>
      <c r="E15" s="4" t="inlineStr">
        <is>
          <t>Algorithms</t>
        </is>
      </c>
      <c r="F15" s="4" t="inlineStr">
        <is>
          <t>Searching|Binary Search</t>
        </is>
      </c>
      <c r="G15" s="4" t="inlineStr">
        <is>
          <t>Abdul Bari Playlist</t>
        </is>
      </c>
      <c r="H15" s="4" t="inlineStr">
        <is>
          <t>Binary Search variations</t>
        </is>
      </c>
      <c r="I15" s="3" t="inlineStr">
        <is>
          <t>Not Started</t>
        </is>
      </c>
      <c r="J15" s="4" t="inlineStr"/>
      <c r="K15" s="4" t="inlineStr"/>
    </row>
    <row r="16">
      <c r="A16" s="3" t="n">
        <v>15</v>
      </c>
      <c r="B16" s="3" t="n">
        <v>4</v>
      </c>
      <c r="C16" s="4" t="inlineStr">
        <is>
          <t>2025-02-08</t>
        </is>
      </c>
      <c r="D16" s="4" t="inlineStr">
        <is>
          <t>2025-02-14</t>
        </is>
      </c>
      <c r="E16" s="4" t="inlineStr">
        <is>
          <t>Algorithms</t>
        </is>
      </c>
      <c r="F16" s="4" t="inlineStr">
        <is>
          <t>Recursion|Backtracking</t>
        </is>
      </c>
      <c r="G16" s="4" t="inlineStr">
        <is>
          <t>Algorithm Design Manual</t>
        </is>
      </c>
      <c r="H16" s="4" t="inlineStr">
        <is>
          <t>10 Recursion problems</t>
        </is>
      </c>
      <c r="I16" s="3" t="inlineStr">
        <is>
          <t>Not Started</t>
        </is>
      </c>
      <c r="J16" s="4" t="inlineStr"/>
      <c r="K16" s="4" t="inlineStr"/>
    </row>
    <row r="17">
      <c r="A17" s="3" t="n">
        <v>16</v>
      </c>
      <c r="B17" s="3" t="n">
        <v>4</v>
      </c>
      <c r="C17" s="4" t="inlineStr">
        <is>
          <t>2025-02-15</t>
        </is>
      </c>
      <c r="D17" s="4" t="inlineStr">
        <is>
          <t>2025-02-21</t>
        </is>
      </c>
      <c r="E17" s="4" t="inlineStr">
        <is>
          <t>Algorithms</t>
        </is>
      </c>
      <c r="F17" s="4" t="inlineStr">
        <is>
          <t>Dynamic Programming</t>
        </is>
      </c>
      <c r="G17" s="4" t="inlineStr">
        <is>
          <t>CLRS DP Chapter</t>
        </is>
      </c>
      <c r="H17" s="4" t="inlineStr">
        <is>
          <t>5 DP problems (Easy-Medium)</t>
        </is>
      </c>
      <c r="I17" s="3" t="inlineStr">
        <is>
          <t>Not Started</t>
        </is>
      </c>
      <c r="J17" s="4" t="inlineStr"/>
      <c r="K17" s="4" t="inlineStr"/>
    </row>
    <row r="18">
      <c r="A18" s="3" t="n">
        <v>17</v>
      </c>
      <c r="B18" s="3" t="n">
        <v>5</v>
      </c>
      <c r="C18" s="4" t="inlineStr">
        <is>
          <t>2025-02-22</t>
        </is>
      </c>
      <c r="D18" s="4" t="inlineStr">
        <is>
          <t>2025-02-28</t>
        </is>
      </c>
      <c r="E18" s="4" t="inlineStr">
        <is>
          <t>Problem Solving</t>
        </is>
      </c>
      <c r="F18" s="4" t="inlineStr">
        <is>
          <t>Arrays &amp; Hashing</t>
        </is>
      </c>
      <c r="G18" s="4" t="inlineStr">
        <is>
          <t>LeetCode Easy</t>
        </is>
      </c>
      <c r="H18" s="4" t="inlineStr">
        <is>
          <t>20 Easy problems</t>
        </is>
      </c>
      <c r="I18" s="3" t="inlineStr">
        <is>
          <t>Not Started</t>
        </is>
      </c>
      <c r="J18" s="4" t="inlineStr"/>
      <c r="K18" s="4" t="inlineStr"/>
    </row>
    <row r="19">
      <c r="A19" s="3" t="n">
        <v>18</v>
      </c>
      <c r="B19" s="3" t="n">
        <v>5</v>
      </c>
      <c r="C19" s="4" t="inlineStr">
        <is>
          <t>2025-03-01</t>
        </is>
      </c>
      <c r="D19" s="4" t="inlineStr">
        <is>
          <t>2025-03-07</t>
        </is>
      </c>
      <c r="E19" s="4" t="inlineStr">
        <is>
          <t>Problem Solving</t>
        </is>
      </c>
      <c r="F19" s="4" t="inlineStr">
        <is>
          <t>Two Pointers|Sliding Window</t>
        </is>
      </c>
      <c r="G19" s="4" t="inlineStr">
        <is>
          <t>NeetCode Roadmap</t>
        </is>
      </c>
      <c r="H19" s="4" t="inlineStr">
        <is>
          <t>15 Easy problems</t>
        </is>
      </c>
      <c r="I19" s="3" t="inlineStr">
        <is>
          <t>Not Started</t>
        </is>
      </c>
      <c r="J19" s="4" t="inlineStr"/>
      <c r="K19" s="4" t="inlineStr"/>
    </row>
    <row r="20">
      <c r="A20" s="3" t="n">
        <v>19</v>
      </c>
      <c r="B20" s="3" t="n">
        <v>5</v>
      </c>
      <c r="C20" s="4" t="inlineStr">
        <is>
          <t>2025-03-08</t>
        </is>
      </c>
      <c r="D20" s="4" t="inlineStr">
        <is>
          <t>2025-03-14</t>
        </is>
      </c>
      <c r="E20" s="4" t="inlineStr">
        <is>
          <t>Problem Solving</t>
        </is>
      </c>
      <c r="F20" s="4" t="inlineStr">
        <is>
          <t>Binary Search|Linked Lists</t>
        </is>
      </c>
      <c r="G20" s="4" t="inlineStr">
        <is>
          <t>LeetCode Medium</t>
        </is>
      </c>
      <c r="H20" s="4" t="inlineStr">
        <is>
          <t>15 Easy problems</t>
        </is>
      </c>
      <c r="I20" s="3" t="inlineStr">
        <is>
          <t>Not Started</t>
        </is>
      </c>
      <c r="J20" s="4" t="inlineStr"/>
      <c r="K20" s="4" t="inlineStr"/>
    </row>
    <row r="21">
      <c r="A21" s="3" t="n">
        <v>20</v>
      </c>
      <c r="B21" s="3" t="n">
        <v>5</v>
      </c>
      <c r="C21" s="4" t="inlineStr">
        <is>
          <t>2025-03-15</t>
        </is>
      </c>
      <c r="D21" s="4" t="inlineStr">
        <is>
          <t>2025-03-21</t>
        </is>
      </c>
      <c r="E21" s="4" t="inlineStr">
        <is>
          <t>Problem Solving</t>
        </is>
      </c>
      <c r="F21" s="4" t="inlineStr">
        <is>
          <t>Trees|DFS|BFS</t>
        </is>
      </c>
      <c r="G21" s="4" t="inlineStr">
        <is>
          <t>NeetCode Trees</t>
        </is>
      </c>
      <c r="H21" s="4" t="inlineStr">
        <is>
          <t>10 Medium problems</t>
        </is>
      </c>
      <c r="I21" s="3" t="inlineStr">
        <is>
          <t>Not Started</t>
        </is>
      </c>
      <c r="J21" s="4" t="inlineStr"/>
      <c r="K21" s="4" t="inlineStr"/>
    </row>
    <row r="22">
      <c r="A22" s="3" t="n">
        <v>21</v>
      </c>
      <c r="B22" s="3" t="n">
        <v>6</v>
      </c>
      <c r="C22" s="4" t="inlineStr">
        <is>
          <t>2025-03-22</t>
        </is>
      </c>
      <c r="D22" s="4" t="inlineStr">
        <is>
          <t>2025-03-28</t>
        </is>
      </c>
      <c r="E22" s="4" t="inlineStr">
        <is>
          <t>Problem Solving</t>
        </is>
      </c>
      <c r="F22" s="4" t="inlineStr">
        <is>
          <t>Graphs|Heaps</t>
        </is>
      </c>
      <c r="G22" s="4" t="inlineStr">
        <is>
          <t>LeetCode Explore</t>
        </is>
      </c>
      <c r="H22" s="4" t="inlineStr">
        <is>
          <t>15 Medium problems</t>
        </is>
      </c>
      <c r="I22" s="3" t="inlineStr">
        <is>
          <t>Not Started</t>
        </is>
      </c>
      <c r="J22" s="4" t="inlineStr"/>
      <c r="K22" s="4" t="inlineStr"/>
    </row>
    <row r="23">
      <c r="A23" s="3" t="n">
        <v>22</v>
      </c>
      <c r="B23" s="3" t="n">
        <v>6</v>
      </c>
      <c r="C23" s="4" t="inlineStr">
        <is>
          <t>2025-03-29</t>
        </is>
      </c>
      <c r="D23" s="4" t="inlineStr">
        <is>
          <t>2025-04-04</t>
        </is>
      </c>
      <c r="E23" s="4" t="inlineStr">
        <is>
          <t>Problem Solving</t>
        </is>
      </c>
      <c r="F23" s="4" t="inlineStr">
        <is>
          <t>Dynamic Programming</t>
        </is>
      </c>
      <c r="G23" s="4" t="inlineStr">
        <is>
          <t>NeetCode DP</t>
        </is>
      </c>
      <c r="H23" s="4" t="inlineStr">
        <is>
          <t>15 Medium problems</t>
        </is>
      </c>
      <c r="I23" s="3" t="inlineStr">
        <is>
          <t>Not Started</t>
        </is>
      </c>
      <c r="J23" s="4" t="inlineStr"/>
      <c r="K23" s="4" t="inlineStr"/>
    </row>
    <row r="24">
      <c r="A24" s="3" t="n">
        <v>23</v>
      </c>
      <c r="B24" s="3" t="n">
        <v>6</v>
      </c>
      <c r="C24" s="4" t="inlineStr">
        <is>
          <t>2025-04-05</t>
        </is>
      </c>
      <c r="D24" s="4" t="inlineStr">
        <is>
          <t>2025-04-11</t>
        </is>
      </c>
      <c r="E24" s="4" t="inlineStr">
        <is>
          <t>Problem Solving</t>
        </is>
      </c>
      <c r="F24" s="4" t="inlineStr">
        <is>
          <t>Advanced Topics</t>
        </is>
      </c>
      <c r="G24" s="4" t="inlineStr">
        <is>
          <t>LeetCode Medium/Hard</t>
        </is>
      </c>
      <c r="H24" s="4" t="inlineStr">
        <is>
          <t>10 Medium + 5 Hard</t>
        </is>
      </c>
      <c r="I24" s="3" t="inlineStr">
        <is>
          <t>Not Started</t>
        </is>
      </c>
      <c r="J24" s="4" t="inlineStr"/>
      <c r="K24" s="4" t="inlineStr"/>
    </row>
    <row r="25">
      <c r="A25" s="3" t="n">
        <v>24</v>
      </c>
      <c r="B25" s="3" t="n">
        <v>6</v>
      </c>
      <c r="C25" s="4" t="inlineStr">
        <is>
          <t>2025-04-12</t>
        </is>
      </c>
      <c r="D25" s="4" t="inlineStr">
        <is>
          <t>2025-04-18</t>
        </is>
      </c>
      <c r="E25" s="4" t="inlineStr">
        <is>
          <t>Problem Solving</t>
        </is>
      </c>
      <c r="F25" s="4" t="inlineStr">
        <is>
          <t>Mock Interviews</t>
        </is>
      </c>
      <c r="G25" s="4" t="inlineStr">
        <is>
          <t>Pramp|Interviewing.io</t>
        </is>
      </c>
      <c r="H25" s="4" t="inlineStr">
        <is>
          <t>5 Mock interviews</t>
        </is>
      </c>
      <c r="I25" s="3" t="inlineStr">
        <is>
          <t>Not Started</t>
        </is>
      </c>
      <c r="J25" s="4" t="inlineStr"/>
      <c r="K25" s="4" t="inlineStr"/>
    </row>
    <row r="26">
      <c r="A26" s="3" t="n">
        <v>25</v>
      </c>
      <c r="B26" s="3" t="n">
        <v>7</v>
      </c>
      <c r="C26" s="4" t="inlineStr">
        <is>
          <t>2025-04-19</t>
        </is>
      </c>
      <c r="D26" s="4" t="inlineStr">
        <is>
          <t>2025-04-25</t>
        </is>
      </c>
      <c r="E26" s="4" t="inlineStr">
        <is>
          <t>SQL Server</t>
        </is>
      </c>
      <c r="F26" s="4" t="inlineStr">
        <is>
          <t>SQL Basics|SELECT|WHERE</t>
        </is>
      </c>
      <c r="G26" s="4" t="inlineStr">
        <is>
          <t>SQLBolt|Kudvenkat SQL</t>
        </is>
      </c>
      <c r="H26" s="4" t="inlineStr">
        <is>
          <t>50 Basic queries</t>
        </is>
      </c>
      <c r="I26" s="3" t="inlineStr">
        <is>
          <t>Not Started</t>
        </is>
      </c>
      <c r="J26" s="4" t="inlineStr"/>
      <c r="K26" s="4" t="inlineStr"/>
    </row>
    <row r="27">
      <c r="A27" s="3" t="n">
        <v>26</v>
      </c>
      <c r="B27" s="3" t="n">
        <v>7</v>
      </c>
      <c r="C27" s="4" t="inlineStr">
        <is>
          <t>2025-04-26</t>
        </is>
      </c>
      <c r="D27" s="4" t="inlineStr">
        <is>
          <t>2025-05-02</t>
        </is>
      </c>
      <c r="E27" s="4" t="inlineStr">
        <is>
          <t>SQL Server</t>
        </is>
      </c>
      <c r="F27" s="4" t="inlineStr">
        <is>
          <t>JOINs|Aggregate Functions</t>
        </is>
      </c>
      <c r="G27" s="4" t="inlineStr">
        <is>
          <t>SQL Tutorial Kudvenkat</t>
        </is>
      </c>
      <c r="H27" s="4" t="inlineStr">
        <is>
          <t>School Database Design</t>
        </is>
      </c>
      <c r="I27" s="3" t="inlineStr">
        <is>
          <t>Not Started</t>
        </is>
      </c>
      <c r="J27" s="4" t="inlineStr"/>
      <c r="K27" s="4" t="inlineStr"/>
    </row>
    <row r="28">
      <c r="A28" s="3" t="n">
        <v>27</v>
      </c>
      <c r="B28" s="3" t="n">
        <v>7</v>
      </c>
      <c r="C28" s="4" t="inlineStr">
        <is>
          <t>2025-05-03</t>
        </is>
      </c>
      <c r="D28" s="4" t="inlineStr">
        <is>
          <t>2025-05-09</t>
        </is>
      </c>
      <c r="E28" s="4" t="inlineStr">
        <is>
          <t>SQL Server</t>
        </is>
      </c>
      <c r="F28" s="4" t="inlineStr">
        <is>
          <t>Subqueries|Indexes|Stored Procedures</t>
        </is>
      </c>
      <c r="G28" s="4" t="inlineStr">
        <is>
          <t>Microsoft SQL Docs</t>
        </is>
      </c>
      <c r="H28" s="4" t="inlineStr">
        <is>
          <t>E-commerce Database Design</t>
        </is>
      </c>
      <c r="I28" s="3" t="inlineStr">
        <is>
          <t>Not Started</t>
        </is>
      </c>
      <c r="J28" s="4" t="inlineStr"/>
      <c r="K28" s="4" t="inlineStr"/>
    </row>
    <row r="29">
      <c r="A29" s="3" t="n">
        <v>28</v>
      </c>
      <c r="B29" s="3" t="n">
        <v>7</v>
      </c>
      <c r="C29" s="4" t="inlineStr">
        <is>
          <t>2025-05-10</t>
        </is>
      </c>
      <c r="D29" s="4" t="inlineStr">
        <is>
          <t>2025-05-16</t>
        </is>
      </c>
      <c r="E29" s="4" t="inlineStr">
        <is>
          <t>SQL Server</t>
        </is>
      </c>
      <c r="F29" s="4" t="inlineStr">
        <is>
          <t>Triggers|Transactions|Performance</t>
        </is>
      </c>
      <c r="G29" s="4" t="inlineStr">
        <is>
          <t>SQL Server Performance</t>
        </is>
      </c>
      <c r="H29" s="4" t="inlineStr">
        <is>
          <t>Complex queries optimization</t>
        </is>
      </c>
      <c r="I29" s="3" t="inlineStr">
        <is>
          <t>Not Started</t>
        </is>
      </c>
      <c r="J29" s="4" t="inlineStr"/>
      <c r="K29" s="4" t="inlineStr"/>
    </row>
    <row r="30">
      <c r="A30" s="3" t="n">
        <v>29</v>
      </c>
      <c r="B30" s="3" t="n">
        <v>8</v>
      </c>
      <c r="C30" s="4" t="inlineStr">
        <is>
          <t>2025-05-17</t>
        </is>
      </c>
      <c r="D30" s="4" t="inlineStr">
        <is>
          <t>2025-05-23</t>
        </is>
      </c>
      <c r="E30" s="4" t="inlineStr">
        <is>
          <t>Entity Framework Core</t>
        </is>
      </c>
      <c r="F30" s="4" t="inlineStr">
        <is>
          <t>EF Core Setup|DbContext</t>
        </is>
      </c>
      <c r="G30" s="4" t="inlineStr">
        <is>
          <t>EF Core Documentation</t>
        </is>
      </c>
      <c r="H30" s="4" t="inlineStr">
        <is>
          <t>Blog System DB Model</t>
        </is>
      </c>
      <c r="I30" s="3" t="inlineStr">
        <is>
          <t>Not Started</t>
        </is>
      </c>
      <c r="J30" s="4" t="inlineStr"/>
      <c r="K30" s="4" t="inlineStr"/>
    </row>
    <row r="31">
      <c r="A31" s="3" t="n">
        <v>30</v>
      </c>
      <c r="B31" s="3" t="n">
        <v>8</v>
      </c>
      <c r="C31" s="4" t="inlineStr">
        <is>
          <t>2025-05-24</t>
        </is>
      </c>
      <c r="D31" s="4" t="inlineStr">
        <is>
          <t>2025-05-30</t>
        </is>
      </c>
      <c r="E31" s="4" t="inlineStr">
        <is>
          <t>Entity Framework Core</t>
        </is>
      </c>
      <c r="F31" s="4" t="inlineStr">
        <is>
          <t>Code-First Migrations|LINQ to Entities</t>
        </is>
      </c>
      <c r="G31" s="4" t="inlineStr">
        <is>
          <t>Kudvenkat EF Core</t>
        </is>
      </c>
      <c r="H31" s="4" t="inlineStr">
        <is>
          <t>HR System with EF Core</t>
        </is>
      </c>
      <c r="I31" s="3" t="inlineStr">
        <is>
          <t>Not Started</t>
        </is>
      </c>
      <c r="J31" s="4" t="inlineStr"/>
      <c r="K31" s="4" t="inlineStr"/>
    </row>
    <row r="32">
      <c r="A32" s="3" t="n">
        <v>31</v>
      </c>
      <c r="B32" s="3" t="n">
        <v>8</v>
      </c>
      <c r="C32" s="4" t="inlineStr">
        <is>
          <t>2025-05-31</t>
        </is>
      </c>
      <c r="D32" s="4" t="inlineStr">
        <is>
          <t>2025-06-06</t>
        </is>
      </c>
      <c r="E32" s="4" t="inlineStr">
        <is>
          <t>Entity Framework Core</t>
        </is>
      </c>
      <c r="F32" s="4" t="inlineStr">
        <is>
          <t>Relationships|Loading Strategies</t>
        </is>
      </c>
      <c r="G32" s="4" t="inlineStr">
        <is>
          <t>Microsoft Learn EF Core</t>
        </is>
      </c>
      <c r="H32" s="4" t="inlineStr">
        <is>
          <t>Complex relationships practice</t>
        </is>
      </c>
      <c r="I32" s="3" t="inlineStr">
        <is>
          <t>Not Started</t>
        </is>
      </c>
      <c r="J32" s="4" t="inlineStr"/>
      <c r="K32" s="4" t="inlineStr"/>
    </row>
    <row r="33">
      <c r="A33" s="3" t="n">
        <v>32</v>
      </c>
      <c r="B33" s="3" t="n">
        <v>8</v>
      </c>
      <c r="C33" s="4" t="inlineStr">
        <is>
          <t>2025-06-07</t>
        </is>
      </c>
      <c r="D33" s="4" t="inlineStr">
        <is>
          <t>2025-06-13</t>
        </is>
      </c>
      <c r="E33" s="4" t="inlineStr">
        <is>
          <t>Database Advanced</t>
        </is>
      </c>
      <c r="F33" s="4" t="inlineStr">
        <is>
          <t>Normalization|Dapper|MongoDB</t>
        </is>
      </c>
      <c r="G33" s="4" t="inlineStr">
        <is>
          <t>Database Design Principles</t>
        </is>
      </c>
      <c r="H33" s="4" t="inlineStr">
        <is>
          <t>Compare EF Core vs Dapper</t>
        </is>
      </c>
      <c r="I33" s="3" t="inlineStr">
        <is>
          <t>Not Started</t>
        </is>
      </c>
      <c r="J33" s="4" t="inlineStr"/>
      <c r="K33" s="4" t="inlineStr"/>
    </row>
    <row r="34">
      <c r="A34" s="3" t="n">
        <v>33</v>
      </c>
      <c r="B34" s="3" t="n">
        <v>9</v>
      </c>
      <c r="C34" s="4" t="inlineStr">
        <is>
          <t>2025-06-14</t>
        </is>
      </c>
      <c r="D34" s="4" t="inlineStr">
        <is>
          <t>2025-06-20</t>
        </is>
      </c>
      <c r="E34" s="4" t="inlineStr">
        <is>
          <t>ASP.NET Core Basics</t>
        </is>
      </c>
      <c r="F34" s="4" t="inlineStr">
        <is>
          <t>.NET Architecture|Dependency Injection</t>
        </is>
      </c>
      <c r="G34" s="4" t="inlineStr">
        <is>
          <t>Microsoft ASP.NET Docs</t>
        </is>
      </c>
      <c r="H34" s="4" t="inlineStr">
        <is>
          <t>Simple DI Console App</t>
        </is>
      </c>
      <c r="I34" s="3" t="inlineStr">
        <is>
          <t>Not Started</t>
        </is>
      </c>
      <c r="J34" s="4" t="inlineStr"/>
      <c r="K34" s="4" t="inlineStr"/>
    </row>
    <row r="35">
      <c r="A35" s="3" t="n">
        <v>34</v>
      </c>
      <c r="B35" s="3" t="n">
        <v>9</v>
      </c>
      <c r="C35" s="4" t="inlineStr">
        <is>
          <t>2025-06-21</t>
        </is>
      </c>
      <c r="D35" s="4" t="inlineStr">
        <is>
          <t>2025-06-27</t>
        </is>
      </c>
      <c r="E35" s="4" t="inlineStr">
        <is>
          <t>ASP.NET Core Basics</t>
        </is>
      </c>
      <c r="F35" s="4" t="inlineStr">
        <is>
          <t>Configuration|Middleware|Routing</t>
        </is>
      </c>
      <c r="G35" s="4" t="inlineStr">
        <is>
          <t>ASP.NET Core Tutorial</t>
        </is>
      </c>
      <c r="H35" s="4" t="inlineStr">
        <is>
          <t>Custom Middleware Pipeline</t>
        </is>
      </c>
      <c r="I35" s="3" t="inlineStr">
        <is>
          <t>Not Started</t>
        </is>
      </c>
      <c r="J35" s="4" t="inlineStr"/>
      <c r="K35" s="4" t="inlineStr"/>
    </row>
    <row r="36">
      <c r="A36" s="3" t="n">
        <v>35</v>
      </c>
      <c r="B36" s="3" t="n">
        <v>9</v>
      </c>
      <c r="C36" s="4" t="inlineStr">
        <is>
          <t>2025-06-28</t>
        </is>
      </c>
      <c r="D36" s="4" t="inlineStr">
        <is>
          <t>2025-07-04</t>
        </is>
      </c>
      <c r="E36" s="4" t="inlineStr">
        <is>
          <t>ASP.NET Core Basics</t>
        </is>
      </c>
      <c r="F36" s="4" t="inlineStr">
        <is>
          <t>Logging with Serilog</t>
        </is>
      </c>
      <c r="G36" s="4" t="inlineStr">
        <is>
          <t>Serilog Documentation</t>
        </is>
      </c>
      <c r="H36" s="4" t="inlineStr">
        <is>
          <t>Add logging to previous app</t>
        </is>
      </c>
      <c r="I36" s="3" t="inlineStr">
        <is>
          <t>Not Started</t>
        </is>
      </c>
      <c r="J36" s="4" t="inlineStr"/>
      <c r="K36" s="4" t="inlineStr"/>
    </row>
    <row r="37">
      <c r="A37" s="3" t="n">
        <v>36</v>
      </c>
      <c r="B37" s="3" t="n">
        <v>9</v>
      </c>
      <c r="C37" s="4" t="inlineStr">
        <is>
          <t>2025-07-05</t>
        </is>
      </c>
      <c r="D37" s="4" t="inlineStr">
        <is>
          <t>2025-07-11</t>
        </is>
      </c>
      <c r="E37" s="4" t="inlineStr">
        <is>
          <t>ASP.NET Core Review</t>
        </is>
      </c>
      <c r="F37" s="4" t="inlineStr">
        <is>
          <t>Review all basics</t>
        </is>
      </c>
      <c r="G37" s="4" t="inlineStr">
        <is>
          <t>ASP.NET Core Workshop</t>
        </is>
      </c>
      <c r="H37" s="4" t="inlineStr">
        <is>
          <t>Mini project with all concepts</t>
        </is>
      </c>
      <c r="I37" s="3" t="inlineStr">
        <is>
          <t>Not Started</t>
        </is>
      </c>
      <c r="J37" s="4" t="inlineStr"/>
      <c r="K37" s="4" t="inlineStr"/>
    </row>
    <row r="38">
      <c r="A38" s="3" t="n">
        <v>37</v>
      </c>
      <c r="B38" s="3" t="n">
        <v>10</v>
      </c>
      <c r="C38" s="4" t="inlineStr">
        <is>
          <t>2025-07-12</t>
        </is>
      </c>
      <c r="D38" s="4" t="inlineStr">
        <is>
          <t>2025-07-18</t>
        </is>
      </c>
      <c r="E38" s="4" t="inlineStr">
        <is>
          <t>ASP.NET Core Web API</t>
        </is>
      </c>
      <c r="F38" s="4" t="inlineStr">
        <is>
          <t>RESTful API Design|Controllers</t>
        </is>
      </c>
      <c r="G38" s="4" t="inlineStr">
        <is>
          <t>Microsoft Web API Tutorial</t>
        </is>
      </c>
      <c r="H38" s="4" t="inlineStr">
        <is>
          <t>Simple CRUD API (Products)</t>
        </is>
      </c>
      <c r="I38" s="3" t="inlineStr">
        <is>
          <t>Not Started</t>
        </is>
      </c>
      <c r="J38" s="4" t="inlineStr"/>
      <c r="K38" s="4" t="inlineStr"/>
    </row>
    <row r="39">
      <c r="A39" s="3" t="n">
        <v>38</v>
      </c>
      <c r="B39" s="3" t="n">
        <v>10</v>
      </c>
      <c r="C39" s="4" t="inlineStr">
        <is>
          <t>2025-07-19</t>
        </is>
      </c>
      <c r="D39" s="4" t="inlineStr">
        <is>
          <t>2025-07-25</t>
        </is>
      </c>
      <c r="E39" s="4" t="inlineStr">
        <is>
          <t>ASP.NET Core Web API</t>
        </is>
      </c>
      <c r="F39" s="4" t="inlineStr">
        <is>
          <t>Model Binding|Validation|DTOs</t>
        </is>
      </c>
      <c r="G39" s="4" t="inlineStr">
        <is>
          <t>AutoMapper Documentation</t>
        </is>
      </c>
      <c r="H39" s="4" t="inlineStr">
        <is>
          <t>Add DTOs &amp; validation</t>
        </is>
      </c>
      <c r="I39" s="3" t="inlineStr">
        <is>
          <t>Not Started</t>
        </is>
      </c>
      <c r="J39" s="4" t="inlineStr"/>
      <c r="K39" s="4" t="inlineStr"/>
    </row>
    <row r="40">
      <c r="A40" s="3" t="n">
        <v>39</v>
      </c>
      <c r="B40" s="3" t="n">
        <v>10</v>
      </c>
      <c r="C40" s="4" t="inlineStr">
        <is>
          <t>2025-07-26</t>
        </is>
      </c>
      <c r="D40" s="4" t="inlineStr">
        <is>
          <t>2025-08-01</t>
        </is>
      </c>
      <c r="E40" s="4" t="inlineStr">
        <is>
          <t>ASP.NET Core Web API</t>
        </is>
      </c>
      <c r="F40" s="4" t="inlineStr">
        <is>
          <t>Error Handling|Custom Middleware</t>
        </is>
      </c>
      <c r="G40" s="4" t="inlineStr">
        <is>
          <t>Error Handling Best Practices</t>
        </is>
      </c>
      <c r="H40" s="4" t="inlineStr">
        <is>
          <t>Global error handling</t>
        </is>
      </c>
      <c r="I40" s="3" t="inlineStr">
        <is>
          <t>Not Started</t>
        </is>
      </c>
      <c r="J40" s="4" t="inlineStr"/>
      <c r="K40" s="4" t="inlineStr"/>
    </row>
    <row r="41">
      <c r="A41" s="3" t="n">
        <v>40</v>
      </c>
      <c r="B41" s="3" t="n">
        <v>10</v>
      </c>
      <c r="C41" s="4" t="inlineStr">
        <is>
          <t>2025-08-02</t>
        </is>
      </c>
      <c r="D41" s="4" t="inlineStr">
        <is>
          <t>2025-08-08</t>
        </is>
      </c>
      <c r="E41" s="4" t="inlineStr">
        <is>
          <t>ASP.NET Core Web API</t>
        </is>
      </c>
      <c r="F41" s="4" t="inlineStr">
        <is>
          <t>Authentication with JWT</t>
        </is>
      </c>
      <c r="G41" s="4" t="inlineStr">
        <is>
          <t>Nick Chapsas JWT Tutorial</t>
        </is>
      </c>
      <c r="H41" s="4" t="inlineStr">
        <is>
          <t>JWT Authentication implementation</t>
        </is>
      </c>
      <c r="I41" s="3" t="inlineStr">
        <is>
          <t>Not Started</t>
        </is>
      </c>
      <c r="J41" s="4" t="inlineStr"/>
      <c r="K41" s="4" t="inlineStr"/>
    </row>
    <row r="42">
      <c r="A42" s="3" t="n">
        <v>41</v>
      </c>
      <c r="B42" s="3" t="n">
        <v>11</v>
      </c>
      <c r="C42" s="4" t="inlineStr">
        <is>
          <t>2025-08-09</t>
        </is>
      </c>
      <c r="D42" s="4" t="inlineStr">
        <is>
          <t>2025-08-15</t>
        </is>
      </c>
      <c r="E42" s="4" t="inlineStr">
        <is>
          <t>ASP.NET Core Web API</t>
        </is>
      </c>
      <c r="F42" s="4" t="inlineStr">
        <is>
          <t>Authorization|Roles|Policies</t>
        </is>
      </c>
      <c r="G42" s="4" t="inlineStr">
        <is>
          <t>Microsoft Authorization Docs</t>
        </is>
      </c>
      <c r="H42" s="4" t="inlineStr">
        <is>
          <t>Role-based &amp; Policy-based auth</t>
        </is>
      </c>
      <c r="I42" s="3" t="inlineStr">
        <is>
          <t>Not Started</t>
        </is>
      </c>
      <c r="J42" s="4" t="inlineStr"/>
      <c r="K42" s="4" t="inlineStr"/>
    </row>
    <row r="43">
      <c r="A43" s="3" t="n">
        <v>42</v>
      </c>
      <c r="B43" s="3" t="n">
        <v>11</v>
      </c>
      <c r="C43" s="4" t="inlineStr">
        <is>
          <t>2025-08-16</t>
        </is>
      </c>
      <c r="D43" s="4" t="inlineStr">
        <is>
          <t>2025-08-22</t>
        </is>
      </c>
      <c r="E43" s="4" t="inlineStr">
        <is>
          <t>ASP.NET Core Web API</t>
        </is>
      </c>
      <c r="F43" s="4" t="inlineStr">
        <is>
          <t>Swagger|API Versioning</t>
        </is>
      </c>
      <c r="G43" s="4" t="inlineStr">
        <is>
          <t>Swagger Documentation</t>
        </is>
      </c>
      <c r="H43" s="4" t="inlineStr">
        <is>
          <t>Add Swagger &amp; versioning</t>
        </is>
      </c>
      <c r="I43" s="3" t="inlineStr">
        <is>
          <t>Not Started</t>
        </is>
      </c>
      <c r="J43" s="4" t="inlineStr"/>
      <c r="K43" s="4" t="inlineStr"/>
    </row>
    <row r="44">
      <c r="A44" s="3" t="n">
        <v>43</v>
      </c>
      <c r="B44" s="3" t="n">
        <v>11</v>
      </c>
      <c r="C44" s="4" t="inlineStr">
        <is>
          <t>2025-08-23</t>
        </is>
      </c>
      <c r="D44" s="4" t="inlineStr">
        <is>
          <t>2025-08-29</t>
        </is>
      </c>
      <c r="E44" s="4" t="inlineStr">
        <is>
          <t>ASP.NET Core Web API</t>
        </is>
      </c>
      <c r="F44" s="4" t="inlineStr">
        <is>
          <t>CORS|Rate Limiting</t>
        </is>
      </c>
      <c r="G44" s="4" t="inlineStr">
        <is>
          <t>ASP.NET Security</t>
        </is>
      </c>
      <c r="H44" s="4" t="inlineStr">
        <is>
          <t>Implement CORS &amp; rate limiting</t>
        </is>
      </c>
      <c r="I44" s="3" t="inlineStr">
        <is>
          <t>Not Started</t>
        </is>
      </c>
      <c r="J44" s="4" t="inlineStr"/>
      <c r="K44" s="4" t="inlineStr"/>
    </row>
    <row r="45">
      <c r="A45" s="3" t="n">
        <v>44</v>
      </c>
      <c r="B45" s="3" t="n">
        <v>11</v>
      </c>
      <c r="C45" s="4" t="inlineStr">
        <is>
          <t>2025-08-30</t>
        </is>
      </c>
      <c r="D45" s="4" t="inlineStr">
        <is>
          <t>2025-09-05</t>
        </is>
      </c>
      <c r="E45" s="4" t="inlineStr">
        <is>
          <t>ASP.NET Core Web API</t>
        </is>
      </c>
      <c r="F45" s="4" t="inlineStr">
        <is>
          <t>Advanced Features</t>
        </is>
      </c>
      <c r="G45" s="4" t="inlineStr">
        <is>
          <t>Filtering|Pagination|Sorting</t>
        </is>
      </c>
      <c r="H45" s="4" t="inlineStr">
        <is>
          <t>Complete E-commerce API</t>
        </is>
      </c>
      <c r="I45" s="3" t="inlineStr">
        <is>
          <t>Not Started</t>
        </is>
      </c>
      <c r="J45" s="4" t="inlineStr"/>
      <c r="K45" s="4" t="inlineStr"/>
    </row>
    <row r="46">
      <c r="A46" s="3" t="n">
        <v>45</v>
      </c>
      <c r="B46" s="3" t="n">
        <v>12</v>
      </c>
      <c r="C46" s="4" t="inlineStr">
        <is>
          <t>2025-09-06</t>
        </is>
      </c>
      <c r="D46" s="4" t="inlineStr">
        <is>
          <t>2025-09-12</t>
        </is>
      </c>
      <c r="E46" s="4" t="inlineStr">
        <is>
          <t>ASP.NET Core MVC</t>
        </is>
      </c>
      <c r="F46" s="4" t="inlineStr">
        <is>
          <t>MVC Pattern|Razor Views</t>
        </is>
      </c>
      <c r="G46" s="4" t="inlineStr">
        <is>
          <t>ASP.NET MVC Tutorial</t>
        </is>
      </c>
      <c r="H46" s="4" t="inlineStr">
        <is>
          <t>Simple MVC App</t>
        </is>
      </c>
      <c r="I46" s="3" t="inlineStr">
        <is>
          <t>Not Started</t>
        </is>
      </c>
      <c r="J46" s="4" t="inlineStr"/>
      <c r="K46" s="4" t="inlineStr"/>
    </row>
    <row r="47">
      <c r="A47" s="3" t="n">
        <v>46</v>
      </c>
      <c r="B47" s="3" t="n">
        <v>12</v>
      </c>
      <c r="C47" s="4" t="inlineStr">
        <is>
          <t>2025-09-13</t>
        </is>
      </c>
      <c r="D47" s="4" t="inlineStr">
        <is>
          <t>2025-09-19</t>
        </is>
      </c>
      <c r="E47" s="4" t="inlineStr">
        <is>
          <t>ASP.NET Core MVC</t>
        </is>
      </c>
      <c r="F47" s="4" t="inlineStr">
        <is>
          <t>Tag Helpers|Partial Views</t>
        </is>
      </c>
      <c r="G47" s="4" t="inlineStr">
        <is>
          <t>Microsoft MVC Docs</t>
        </is>
      </c>
      <c r="H47" s="4" t="inlineStr">
        <is>
          <t>E-commerce Admin Dashboard</t>
        </is>
      </c>
      <c r="I47" s="3" t="inlineStr">
        <is>
          <t>Not Started</t>
        </is>
      </c>
      <c r="J47" s="4" t="inlineStr"/>
      <c r="K47" s="4" t="inlineStr"/>
    </row>
    <row r="48">
      <c r="A48" s="3" t="n">
        <v>47</v>
      </c>
      <c r="B48" s="3" t="n">
        <v>12</v>
      </c>
      <c r="C48" s="4" t="inlineStr">
        <is>
          <t>2025-09-20</t>
        </is>
      </c>
      <c r="D48" s="4" t="inlineStr">
        <is>
          <t>2025-09-26</t>
        </is>
      </c>
      <c r="E48" s="4" t="inlineStr">
        <is>
          <t>ASP.NET Core MVC</t>
        </is>
      </c>
      <c r="F48" s="4" t="inlineStr">
        <is>
          <t>Form Handling|Validation</t>
        </is>
      </c>
      <c r="G48" s="4" t="inlineStr">
        <is>
          <t>MVC Forms Tutorial</t>
        </is>
      </c>
      <c r="H48" s="4" t="inlineStr">
        <is>
          <t>Complete Admin Panel</t>
        </is>
      </c>
      <c r="I48" s="3" t="inlineStr">
        <is>
          <t>Not Started</t>
        </is>
      </c>
      <c r="J48" s="4" t="inlineStr"/>
      <c r="K48" s="4" t="inlineStr"/>
    </row>
    <row r="49">
      <c r="A49" s="3" t="n">
        <v>48</v>
      </c>
      <c r="B49" s="3" t="n">
        <v>12</v>
      </c>
      <c r="C49" s="4" t="inlineStr">
        <is>
          <t>2025-09-27</t>
        </is>
      </c>
      <c r="D49" s="4" t="inlineStr">
        <is>
          <t>2025-10-03</t>
        </is>
      </c>
      <c r="E49" s="4" t="inlineStr">
        <is>
          <t>ASP.NET Core Review</t>
        </is>
      </c>
      <c r="F49" s="4" t="inlineStr">
        <is>
          <t>Full Stack Review</t>
        </is>
      </c>
      <c r="G49" s="4" t="inlineStr">
        <is>
          <t>Build complete app</t>
        </is>
      </c>
      <c r="H49" s="4" t="inlineStr">
        <is>
          <t>MVC + API Integration</t>
        </is>
      </c>
      <c r="I49" s="3" t="inlineStr">
        <is>
          <t>Not Started</t>
        </is>
      </c>
      <c r="J49" s="4" t="inlineStr"/>
      <c r="K49" s="4" t="inlineStr"/>
    </row>
    <row r="50">
      <c r="A50" s="3" t="n">
        <v>49</v>
      </c>
      <c r="B50" s="3" t="n">
        <v>13</v>
      </c>
      <c r="C50" s="4" t="inlineStr">
        <is>
          <t>2025-10-04</t>
        </is>
      </c>
      <c r="D50" s="4" t="inlineStr">
        <is>
          <t>2025-10-10</t>
        </is>
      </c>
      <c r="E50" s="4" t="inlineStr">
        <is>
          <t>Software Testing</t>
        </is>
      </c>
      <c r="F50" s="4" t="inlineStr">
        <is>
          <t>Unit Testing Fundamentals|xUnit</t>
        </is>
      </c>
      <c r="G50" s="4" t="inlineStr">
        <is>
          <t>IAmTimCorey Testing Tutorial</t>
        </is>
      </c>
      <c r="H50" s="4" t="inlineStr">
        <is>
          <t>First unit tests</t>
        </is>
      </c>
      <c r="I50" s="3" t="inlineStr">
        <is>
          <t>Not Started</t>
        </is>
      </c>
      <c r="J50" s="4" t="inlineStr"/>
      <c r="K50" s="4" t="inlineStr"/>
    </row>
    <row r="51">
      <c r="A51" s="3" t="n">
        <v>50</v>
      </c>
      <c r="B51" s="3" t="n">
        <v>13</v>
      </c>
      <c r="C51" s="4" t="inlineStr">
        <is>
          <t>2025-10-11</t>
        </is>
      </c>
      <c r="D51" s="4" t="inlineStr">
        <is>
          <t>2025-10-17</t>
        </is>
      </c>
      <c r="E51" s="4" t="inlineStr">
        <is>
          <t>Software Testing</t>
        </is>
      </c>
      <c r="F51" s="4" t="inlineStr">
        <is>
          <t>MOQ|Mocking Dependencies</t>
        </is>
      </c>
      <c r="G51" s="4" t="inlineStr">
        <is>
          <t>MOQ Documentation</t>
        </is>
      </c>
      <c r="H51" s="4" t="inlineStr">
        <is>
          <t>Mock services &amp; repositories</t>
        </is>
      </c>
      <c r="I51" s="3" t="inlineStr">
        <is>
          <t>Not Started</t>
        </is>
      </c>
      <c r="J51" s="4" t="inlineStr"/>
      <c r="K51" s="4" t="inlineStr"/>
    </row>
    <row r="52">
      <c r="A52" s="3" t="n">
        <v>51</v>
      </c>
      <c r="B52" s="3" t="n">
        <v>13</v>
      </c>
      <c r="C52" s="4" t="inlineStr">
        <is>
          <t>2025-10-18</t>
        </is>
      </c>
      <c r="D52" s="4" t="inlineStr">
        <is>
          <t>2025-10-24</t>
        </is>
      </c>
      <c r="E52" s="4" t="inlineStr">
        <is>
          <t>Software Testing</t>
        </is>
      </c>
      <c r="F52" s="4" t="inlineStr">
        <is>
          <t>Integration Testing|Test Coverage</t>
        </is>
      </c>
      <c r="G52" s="4" t="inlineStr">
        <is>
          <t>Microsoft Testing Docs</t>
        </is>
      </c>
      <c r="H52" s="4" t="inlineStr">
        <is>
          <t>Integration tests for API</t>
        </is>
      </c>
      <c r="I52" s="3" t="inlineStr">
        <is>
          <t>Not Started</t>
        </is>
      </c>
      <c r="J52" s="4" t="inlineStr"/>
      <c r="K52" s="4" t="inlineStr"/>
    </row>
    <row r="53">
      <c r="A53" s="3" t="n">
        <v>52</v>
      </c>
      <c r="B53" s="3" t="n">
        <v>13</v>
      </c>
      <c r="C53" s="4" t="inlineStr">
        <is>
          <t>2025-10-25</t>
        </is>
      </c>
      <c r="D53" s="4" t="inlineStr">
        <is>
          <t>2025-10-31</t>
        </is>
      </c>
      <c r="E53" s="4" t="inlineStr">
        <is>
          <t>Software Testing</t>
        </is>
      </c>
      <c r="F53" s="4" t="inlineStr">
        <is>
          <t>TDD Practice</t>
        </is>
      </c>
      <c r="G53" s="4" t="inlineStr">
        <is>
          <t>The Art of Unit Testing</t>
        </is>
      </c>
      <c r="H53" s="4" t="inlineStr">
        <is>
          <t>TDD new service from scratch</t>
        </is>
      </c>
      <c r="I53" s="3" t="inlineStr">
        <is>
          <t>Not Started</t>
        </is>
      </c>
      <c r="J53" s="4" t="inlineStr"/>
      <c r="K53" s="4" t="inlineStr"/>
    </row>
    <row r="54">
      <c r="A54" s="3" t="n">
        <v>53</v>
      </c>
      <c r="B54" s="3" t="n">
        <v>14</v>
      </c>
      <c r="C54" s="4" t="inlineStr">
        <is>
          <t>2025-11-01</t>
        </is>
      </c>
      <c r="D54" s="4" t="inlineStr">
        <is>
          <t>2025-11-07</t>
        </is>
      </c>
      <c r="E54" s="4" t="inlineStr">
        <is>
          <t>Major Project #1</t>
        </is>
      </c>
      <c r="F54" s="4" t="inlineStr">
        <is>
          <t>Planning &amp; Setup</t>
        </is>
      </c>
      <c r="G54" s="4" t="inlineStr">
        <is>
          <t>Task Management System</t>
        </is>
      </c>
      <c r="H54" s="4" t="inlineStr">
        <is>
          <t>Setup solution structure</t>
        </is>
      </c>
      <c r="I54" s="3" t="inlineStr">
        <is>
          <t>Not Started</t>
        </is>
      </c>
      <c r="J54" s="4" t="inlineStr"/>
      <c r="K54" s="4" t="inlineStr"/>
    </row>
    <row r="55">
      <c r="A55" s="3" t="n">
        <v>54</v>
      </c>
      <c r="B55" s="3" t="n">
        <v>14</v>
      </c>
      <c r="C55" s="4" t="inlineStr">
        <is>
          <t>2025-11-08</t>
        </is>
      </c>
      <c r="D55" s="4" t="inlineStr">
        <is>
          <t>2025-11-14</t>
        </is>
      </c>
      <c r="E55" s="4" t="inlineStr">
        <is>
          <t>Major Project #1</t>
        </is>
      </c>
      <c r="F55" s="4" t="inlineStr">
        <is>
          <t>Core Features Implementation</t>
        </is>
      </c>
      <c r="G55" s="4" t="inlineStr">
        <is>
          <t>Build core features</t>
        </is>
      </c>
      <c r="H55" s="4" t="inlineStr">
        <is>
          <t>User auth &amp; task CRUD</t>
        </is>
      </c>
      <c r="I55" s="3" t="inlineStr">
        <is>
          <t>Not Started</t>
        </is>
      </c>
      <c r="J55" s="4" t="inlineStr"/>
      <c r="K55" s="4" t="inlineStr"/>
    </row>
    <row r="56">
      <c r="A56" s="3" t="n">
        <v>55</v>
      </c>
      <c r="B56" s="3" t="n">
        <v>14</v>
      </c>
      <c r="C56" s="4" t="inlineStr">
        <is>
          <t>2025-11-15</t>
        </is>
      </c>
      <c r="D56" s="4" t="inlineStr">
        <is>
          <t>2025-11-21</t>
        </is>
      </c>
      <c r="E56" s="4" t="inlineStr">
        <is>
          <t>Major Project #1</t>
        </is>
      </c>
      <c r="F56" s="4" t="inlineStr">
        <is>
          <t>Advanced Features</t>
        </is>
      </c>
      <c r="G56" s="4" t="inlineStr">
        <is>
          <t>Advanced functionality</t>
        </is>
      </c>
      <c r="H56" s="4" t="inlineStr">
        <is>
          <t>Search|Filter|File uploads</t>
        </is>
      </c>
      <c r="I56" s="3" t="inlineStr">
        <is>
          <t>Not Started</t>
        </is>
      </c>
      <c r="J56" s="4" t="inlineStr"/>
      <c r="K56" s="4" t="inlineStr"/>
    </row>
    <row r="57">
      <c r="A57" s="3" t="n">
        <v>56</v>
      </c>
      <c r="B57" s="3" t="n">
        <v>14</v>
      </c>
      <c r="C57" s="4" t="inlineStr">
        <is>
          <t>2025-11-22</t>
        </is>
      </c>
      <c r="D57" s="4" t="inlineStr">
        <is>
          <t>2025-11-28</t>
        </is>
      </c>
      <c r="E57" s="4" t="inlineStr">
        <is>
          <t>Major Project #1</t>
        </is>
      </c>
      <c r="F57" s="4" t="inlineStr">
        <is>
          <t>Testing &amp; Documentation</t>
        </is>
      </c>
      <c r="G57" s="4" t="inlineStr">
        <is>
          <t>Complete testing &amp; docs</t>
        </is>
      </c>
      <c r="H57" s="4" t="inlineStr">
        <is>
          <t>70%+ coverage &amp; README</t>
        </is>
      </c>
      <c r="I57" s="3" t="inlineStr">
        <is>
          <t>Not Started</t>
        </is>
      </c>
      <c r="J57" s="4" t="inlineStr"/>
      <c r="K57" s="4" t="inlineStr"/>
    </row>
    <row r="58">
      <c r="A58" s="3" t="n">
        <v>57</v>
      </c>
      <c r="B58" s="3" t="n">
        <v>15</v>
      </c>
      <c r="C58" s="4" t="inlineStr">
        <is>
          <t>2025-11-29</t>
        </is>
      </c>
      <c r="D58" s="4" t="inlineStr">
        <is>
          <t>2025-12-05</t>
        </is>
      </c>
      <c r="E58" s="4" t="inlineStr">
        <is>
          <t>Design Patterns</t>
        </is>
      </c>
      <c r="F58" s="4" t="inlineStr">
        <is>
          <t>Creational Patterns</t>
        </is>
      </c>
      <c r="G58" s="4" t="inlineStr">
        <is>
          <t>Head First Design Patterns</t>
        </is>
      </c>
      <c r="H58" s="4" t="inlineStr">
        <is>
          <t>Singleton|Factory|Builder in C#</t>
        </is>
      </c>
      <c r="I58" s="3" t="inlineStr">
        <is>
          <t>Not Started</t>
        </is>
      </c>
      <c r="J58" s="4" t="inlineStr"/>
      <c r="K58" s="4" t="inlineStr"/>
    </row>
    <row r="59">
      <c r="A59" s="3" t="n">
        <v>58</v>
      </c>
      <c r="B59" s="3" t="n">
        <v>15</v>
      </c>
      <c r="C59" s="4" t="inlineStr">
        <is>
          <t>2025-12-06</t>
        </is>
      </c>
      <c r="D59" s="4" t="inlineStr">
        <is>
          <t>2025-12-12</t>
        </is>
      </c>
      <c r="E59" s="4" t="inlineStr">
        <is>
          <t>Design Patterns</t>
        </is>
      </c>
      <c r="F59" s="4" t="inlineStr">
        <is>
          <t>Structural Patterns</t>
        </is>
      </c>
      <c r="G59" s="4" t="inlineStr">
        <is>
          <t>Design Patterns Book</t>
        </is>
      </c>
      <c r="H59" s="4" t="inlineStr">
        <is>
          <t>Repository|Decorator|Adapter</t>
        </is>
      </c>
      <c r="I59" s="3" t="inlineStr">
        <is>
          <t>Not Started</t>
        </is>
      </c>
      <c r="J59" s="4" t="inlineStr"/>
      <c r="K59" s="4" t="inlineStr"/>
    </row>
    <row r="60">
      <c r="A60" s="3" t="n">
        <v>59</v>
      </c>
      <c r="B60" s="3" t="n">
        <v>15</v>
      </c>
      <c r="C60" s="4" t="inlineStr">
        <is>
          <t>2025-12-13</t>
        </is>
      </c>
      <c r="D60" s="4" t="inlineStr">
        <is>
          <t>2025-12-19</t>
        </is>
      </c>
      <c r="E60" s="4" t="inlineStr">
        <is>
          <t>Design Patterns</t>
        </is>
      </c>
      <c r="F60" s="4" t="inlineStr">
        <is>
          <t>Behavioral Patterns</t>
        </is>
      </c>
      <c r="G60" s="4" t="inlineStr">
        <is>
          <t>Christopher Okhravi YouTube</t>
        </is>
      </c>
      <c r="H60" s="4" t="inlineStr">
        <is>
          <t>Strategy|Observer|Command</t>
        </is>
      </c>
      <c r="I60" s="3" t="inlineStr">
        <is>
          <t>Not Started</t>
        </is>
      </c>
      <c r="J60" s="4" t="inlineStr"/>
      <c r="K60" s="4" t="inlineStr"/>
    </row>
    <row r="61">
      <c r="A61" s="3" t="n">
        <v>60</v>
      </c>
      <c r="B61" s="3" t="n">
        <v>15</v>
      </c>
      <c r="C61" s="4" t="inlineStr">
        <is>
          <t>2025-12-20</t>
        </is>
      </c>
      <c r="D61" s="4" t="inlineStr">
        <is>
          <t>2025-12-26</t>
        </is>
      </c>
      <c r="E61" s="4" t="inlineStr">
        <is>
          <t>Design Patterns</t>
        </is>
      </c>
      <c r="F61" s="4" t="inlineStr">
        <is>
          <t>Patterns in Practice</t>
        </is>
      </c>
      <c r="G61" s="4" t="inlineStr">
        <is>
          <t>Refactoring Guru</t>
        </is>
      </c>
      <c r="H61" s="4" t="inlineStr">
        <is>
          <t>Refactor project with patterns</t>
        </is>
      </c>
      <c r="I61" s="3" t="inlineStr">
        <is>
          <t>Not Started</t>
        </is>
      </c>
      <c r="J61" s="4" t="inlineStr"/>
      <c r="K61" s="4" t="inlineStr"/>
    </row>
    <row r="62">
      <c r="A62" s="3" t="n">
        <v>61</v>
      </c>
      <c r="B62" s="3" t="n">
        <v>16</v>
      </c>
      <c r="C62" s="4" t="inlineStr">
        <is>
          <t>2025-12-27</t>
        </is>
      </c>
      <c r="D62" s="4" t="inlineStr">
        <is>
          <t>2026-01-02</t>
        </is>
      </c>
      <c r="E62" s="4" t="inlineStr">
        <is>
          <t>SOLID Principles</t>
        </is>
      </c>
      <c r="F62" s="4" t="inlineStr">
        <is>
          <t>SRP &amp; OCP</t>
        </is>
      </c>
      <c r="G62" s="4" t="inlineStr">
        <is>
          <t>Clean Code Book</t>
        </is>
      </c>
      <c r="H62" s="4" t="inlineStr">
        <is>
          <t>Apply SRP &amp; OCP</t>
        </is>
      </c>
      <c r="I62" s="3" t="inlineStr">
        <is>
          <t>Not Started</t>
        </is>
      </c>
      <c r="J62" s="4" t="inlineStr"/>
      <c r="K62" s="4" t="inlineStr"/>
    </row>
    <row r="63">
      <c r="A63" s="3" t="n">
        <v>62</v>
      </c>
      <c r="B63" s="3" t="n">
        <v>16</v>
      </c>
      <c r="C63" s="4" t="inlineStr">
        <is>
          <t>2026-01-03</t>
        </is>
      </c>
      <c r="D63" s="4" t="inlineStr">
        <is>
          <t>2026-01-09</t>
        </is>
      </c>
      <c r="E63" s="4" t="inlineStr">
        <is>
          <t>SOLID Principles</t>
        </is>
      </c>
      <c r="F63" s="4" t="inlineStr">
        <is>
          <t>LSP &amp; ISP</t>
        </is>
      </c>
      <c r="G63" s="4" t="inlineStr">
        <is>
          <t>Kudvenkat SOLID Playlist</t>
        </is>
      </c>
      <c r="H63" s="4" t="inlineStr">
        <is>
          <t>Apply LSP &amp; ISP</t>
        </is>
      </c>
      <c r="I63" s="3" t="inlineStr">
        <is>
          <t>Not Started</t>
        </is>
      </c>
      <c r="J63" s="4" t="inlineStr"/>
      <c r="K63" s="4" t="inlineStr"/>
    </row>
    <row r="64">
      <c r="A64" s="3" t="n">
        <v>63</v>
      </c>
      <c r="B64" s="3" t="n">
        <v>16</v>
      </c>
      <c r="C64" s="4" t="inlineStr">
        <is>
          <t>2026-01-10</t>
        </is>
      </c>
      <c r="D64" s="4" t="inlineStr">
        <is>
          <t>2026-01-16</t>
        </is>
      </c>
      <c r="E64" s="4" t="inlineStr">
        <is>
          <t>SOLID Principles</t>
        </is>
      </c>
      <c r="F64" s="4" t="inlineStr">
        <is>
          <t>DIP &amp; Review</t>
        </is>
      </c>
      <c r="G64" s="4" t="inlineStr">
        <is>
          <t>SOLID Principles Workshop</t>
        </is>
      </c>
      <c r="H64" s="4" t="inlineStr">
        <is>
          <t>Dependency Inversion</t>
        </is>
      </c>
      <c r="I64" s="3" t="inlineStr">
        <is>
          <t>Not Started</t>
        </is>
      </c>
      <c r="J64" s="4" t="inlineStr"/>
      <c r="K64" s="4" t="inlineStr"/>
    </row>
    <row r="65">
      <c r="A65" s="3" t="n">
        <v>64</v>
      </c>
      <c r="B65" s="3" t="n">
        <v>16</v>
      </c>
      <c r="C65" s="4" t="inlineStr">
        <is>
          <t>2026-01-17</t>
        </is>
      </c>
      <c r="D65" s="4" t="inlineStr">
        <is>
          <t>2026-01-23</t>
        </is>
      </c>
      <c r="E65" s="4" t="inlineStr">
        <is>
          <t>SOLID Principles</t>
        </is>
      </c>
      <c r="F65" s="4" t="inlineStr">
        <is>
          <t>Refactoring Practice</t>
        </is>
      </c>
      <c r="G65" s="4" t="inlineStr">
        <is>
          <t>Code review previous projects</t>
        </is>
      </c>
      <c r="H65" s="4" t="inlineStr">
        <is>
          <t>Refactor all projects with SOLID</t>
        </is>
      </c>
      <c r="I65" s="3" t="inlineStr">
        <is>
          <t>Not Started</t>
        </is>
      </c>
      <c r="J65" s="4" t="inlineStr"/>
      <c r="K65" s="4" t="inlineStr"/>
    </row>
    <row r="66">
      <c r="A66" s="3" t="n">
        <v>65</v>
      </c>
      <c r="B66" s="3" t="n">
        <v>17</v>
      </c>
      <c r="C66" s="4" t="inlineStr">
        <is>
          <t>2026-01-24</t>
        </is>
      </c>
      <c r="D66" s="4" t="inlineStr">
        <is>
          <t>2026-01-30</t>
        </is>
      </c>
      <c r="E66" s="4" t="inlineStr">
        <is>
          <t>Clean Architecture</t>
        </is>
      </c>
      <c r="F66" s="4" t="inlineStr">
        <is>
          <t>Layered Architecture Basics</t>
        </is>
      </c>
      <c r="G66" s="4" t="inlineStr">
        <is>
          <t>Clean Architecture Book</t>
        </is>
      </c>
      <c r="H66" s="4" t="inlineStr">
        <is>
          <t>Understand layers separation</t>
        </is>
      </c>
      <c r="I66" s="3" t="inlineStr">
        <is>
          <t>Not Started</t>
        </is>
      </c>
      <c r="J66" s="4" t="inlineStr"/>
      <c r="K66" s="4" t="inlineStr"/>
    </row>
    <row r="67">
      <c r="A67" s="3" t="n">
        <v>66</v>
      </c>
      <c r="B67" s="3" t="n">
        <v>17</v>
      </c>
      <c r="C67" s="4" t="inlineStr">
        <is>
          <t>2026-01-31</t>
        </is>
      </c>
      <c r="D67" s="4" t="inlineStr">
        <is>
          <t>2026-02-06</t>
        </is>
      </c>
      <c r="E67" s="4" t="inlineStr">
        <is>
          <t>Clean Architecture</t>
        </is>
      </c>
      <c r="F67" s="4" t="inlineStr">
        <is>
          <t>Clean Architecture Structure</t>
        </is>
      </c>
      <c r="G67" s="4" t="inlineStr">
        <is>
          <t>Jason Taylor Clean Arch</t>
        </is>
      </c>
      <c r="H67" s="4" t="inlineStr">
        <is>
          <t>Setup Clean Arch solution</t>
        </is>
      </c>
      <c r="I67" s="3" t="inlineStr">
        <is>
          <t>Not Started</t>
        </is>
      </c>
      <c r="J67" s="4" t="inlineStr"/>
      <c r="K67" s="4" t="inlineStr"/>
    </row>
    <row r="68">
      <c r="A68" s="3" t="n">
        <v>67</v>
      </c>
      <c r="B68" s="3" t="n">
        <v>17</v>
      </c>
      <c r="C68" s="4" t="inlineStr">
        <is>
          <t>2026-02-07</t>
        </is>
      </c>
      <c r="D68" s="4" t="inlineStr">
        <is>
          <t>2026-02-13</t>
        </is>
      </c>
      <c r="E68" s="4" t="inlineStr">
        <is>
          <t>Clean Architecture</t>
        </is>
      </c>
      <c r="F68" s="4" t="inlineStr">
        <is>
          <t>Domain-Driven Design Basics</t>
        </is>
      </c>
      <c r="G68" s="4" t="inlineStr">
        <is>
          <t>DDD Fundamentals</t>
        </is>
      </c>
      <c r="H68" s="4" t="inlineStr">
        <is>
          <t>Design Domain models</t>
        </is>
      </c>
      <c r="I68" s="3" t="inlineStr">
        <is>
          <t>Not Started</t>
        </is>
      </c>
      <c r="J68" s="4" t="inlineStr"/>
      <c r="K68" s="4" t="inlineStr"/>
    </row>
    <row r="69">
      <c r="A69" s="3" t="n">
        <v>68</v>
      </c>
      <c r="B69" s="3" t="n">
        <v>17</v>
      </c>
      <c r="C69" s="4" t="inlineStr">
        <is>
          <t>2026-02-14</t>
        </is>
      </c>
      <c r="D69" s="4" t="inlineStr">
        <is>
          <t>2026-02-20</t>
        </is>
      </c>
      <c r="E69" s="4" t="inlineStr">
        <is>
          <t>Clean Architecture</t>
        </is>
      </c>
      <c r="F69" s="4" t="inlineStr">
        <is>
          <t>Dependency Flow</t>
        </is>
      </c>
      <c r="G69" s="4" t="inlineStr">
        <is>
          <t>Uncle Bob Clean Arch</t>
        </is>
      </c>
      <c r="H69" s="4" t="inlineStr">
        <is>
          <t>Implement proper dependencies</t>
        </is>
      </c>
      <c r="I69" s="3" t="inlineStr">
        <is>
          <t>Not Started</t>
        </is>
      </c>
      <c r="J69" s="4" t="inlineStr"/>
      <c r="K69" s="4" t="inlineStr"/>
    </row>
    <row r="70">
      <c r="A70" s="3" t="n">
        <v>69</v>
      </c>
      <c r="B70" s="3" t="n">
        <v>18</v>
      </c>
      <c r="C70" s="4" t="inlineStr">
        <is>
          <t>2026-02-21</t>
        </is>
      </c>
      <c r="D70" s="4" t="inlineStr">
        <is>
          <t>2026-02-27</t>
        </is>
      </c>
      <c r="E70" s="4" t="inlineStr">
        <is>
          <t>CQRS &amp; MediatR</t>
        </is>
      </c>
      <c r="F70" s="4" t="inlineStr">
        <is>
          <t>CQRS Fundamentals</t>
        </is>
      </c>
      <c r="G70" s="4" t="inlineStr">
        <is>
          <t>CodeOpinion CQRS</t>
        </is>
      </c>
      <c r="H70" s="4" t="inlineStr">
        <is>
          <t>Understand CQRS pattern</t>
        </is>
      </c>
      <c r="I70" s="3" t="inlineStr">
        <is>
          <t>Not Started</t>
        </is>
      </c>
      <c r="J70" s="4" t="inlineStr"/>
      <c r="K70" s="4" t="inlineStr"/>
    </row>
    <row r="71">
      <c r="A71" s="3" t="n">
        <v>70</v>
      </c>
      <c r="B71" s="3" t="n">
        <v>18</v>
      </c>
      <c r="C71" s="4" t="inlineStr">
        <is>
          <t>2026-02-28</t>
        </is>
      </c>
      <c r="D71" s="4" t="inlineStr">
        <is>
          <t>2026-03-06</t>
        </is>
      </c>
      <c r="E71" s="4" t="inlineStr">
        <is>
          <t>CQRS &amp; MediatR</t>
        </is>
      </c>
      <c r="F71" s="4" t="inlineStr">
        <is>
          <t>MediatR Setup</t>
        </is>
      </c>
      <c r="G71" s="4" t="inlineStr">
        <is>
          <t>MediatR GitHub</t>
        </is>
      </c>
      <c r="H71" s="4" t="inlineStr">
        <is>
          <t>Setup MediatR in project</t>
        </is>
      </c>
      <c r="I71" s="3" t="inlineStr">
        <is>
          <t>Not Started</t>
        </is>
      </c>
      <c r="J71" s="4" t="inlineStr"/>
      <c r="K71" s="4" t="inlineStr"/>
    </row>
    <row r="72">
      <c r="A72" s="3" t="n">
        <v>71</v>
      </c>
      <c r="B72" s="3" t="n">
        <v>18</v>
      </c>
      <c r="C72" s="4" t="inlineStr">
        <is>
          <t>2026-03-07</t>
        </is>
      </c>
      <c r="D72" s="4" t="inlineStr">
        <is>
          <t>2026-03-13</t>
        </is>
      </c>
      <c r="E72" s="4" t="inlineStr">
        <is>
          <t>CQRS &amp; MediatR</t>
        </is>
      </c>
      <c r="F72" s="4" t="inlineStr">
        <is>
          <t>Commands &amp; Queries</t>
        </is>
      </c>
      <c r="G72" s="4" t="inlineStr">
        <is>
          <t>MediatR Tutorial</t>
        </is>
      </c>
      <c r="H72" s="4" t="inlineStr">
        <is>
          <t>Implement Commands &amp; Queries</t>
        </is>
      </c>
      <c r="I72" s="3" t="inlineStr">
        <is>
          <t>Not Started</t>
        </is>
      </c>
      <c r="J72" s="4" t="inlineStr"/>
      <c r="K72" s="4" t="inlineStr"/>
    </row>
    <row r="73">
      <c r="A73" s="3" t="n">
        <v>72</v>
      </c>
      <c r="B73" s="3" t="n">
        <v>18</v>
      </c>
      <c r="C73" s="4" t="inlineStr">
        <is>
          <t>2026-03-14</t>
        </is>
      </c>
      <c r="D73" s="4" t="inlineStr">
        <is>
          <t>2026-03-20</t>
        </is>
      </c>
      <c r="E73" s="4" t="inlineStr">
        <is>
          <t>CQRS &amp; MediatR</t>
        </is>
      </c>
      <c r="F73" s="4" t="inlineStr">
        <is>
          <t>Validation Pipeline</t>
        </is>
      </c>
      <c r="G73" s="4" t="inlineStr">
        <is>
          <t>FluentValidation</t>
        </is>
      </c>
      <c r="H73" s="4" t="inlineStr">
        <is>
          <t>Blog System with Clean Arch + CQRS</t>
        </is>
      </c>
      <c r="I73" s="3" t="inlineStr">
        <is>
          <t>Not Started</t>
        </is>
      </c>
      <c r="J73" s="4" t="inlineStr"/>
      <c r="K73" s="4" t="inlineStr"/>
    </row>
    <row r="74">
      <c r="A74" s="3" t="n">
        <v>73</v>
      </c>
      <c r="B74" s="3" t="n">
        <v>19</v>
      </c>
      <c r="C74" s="4" t="inlineStr">
        <is>
          <t>2026-03-21</t>
        </is>
      </c>
      <c r="D74" s="4" t="inlineStr">
        <is>
          <t>2026-03-27</t>
        </is>
      </c>
      <c r="E74" s="4" t="inlineStr">
        <is>
          <t>Docker</t>
        </is>
      </c>
      <c r="F74" s="4" t="inlineStr">
        <is>
          <t>Docker Fundamentals</t>
        </is>
      </c>
      <c r="G74" s="4" t="inlineStr">
        <is>
          <t>TechWorld with Nana</t>
        </is>
      </c>
      <c r="H74" s="4" t="inlineStr">
        <is>
          <t>Install &amp; learn Docker basics</t>
        </is>
      </c>
      <c r="I74" s="3" t="inlineStr">
        <is>
          <t>Not Started</t>
        </is>
      </c>
      <c r="J74" s="4" t="inlineStr"/>
      <c r="K74" s="4" t="inlineStr"/>
    </row>
    <row r="75">
      <c r="A75" s="3" t="n">
        <v>74</v>
      </c>
      <c r="B75" s="3" t="n">
        <v>19</v>
      </c>
      <c r="C75" s="4" t="inlineStr">
        <is>
          <t>2026-03-28</t>
        </is>
      </c>
      <c r="D75" s="4" t="inlineStr">
        <is>
          <t>2026-04-03</t>
        </is>
      </c>
      <c r="E75" s="4" t="inlineStr">
        <is>
          <t>Docker</t>
        </is>
      </c>
      <c r="F75" s="4" t="inlineStr">
        <is>
          <t>Dockerfile for .NET</t>
        </is>
      </c>
      <c r="G75" s="4" t="inlineStr">
        <is>
          <t>Microsoft Docker Docs</t>
        </is>
      </c>
      <c r="H75" s="4" t="inlineStr">
        <is>
          <t>Dockerize .NET application</t>
        </is>
      </c>
      <c r="I75" s="3" t="inlineStr">
        <is>
          <t>Not Started</t>
        </is>
      </c>
      <c r="J75" s="4" t="inlineStr"/>
      <c r="K75" s="4" t="inlineStr"/>
    </row>
    <row r="76">
      <c r="A76" s="3" t="n">
        <v>75</v>
      </c>
      <c r="B76" s="3" t="n">
        <v>19</v>
      </c>
      <c r="C76" s="4" t="inlineStr">
        <is>
          <t>2026-04-04</t>
        </is>
      </c>
      <c r="D76" s="4" t="inlineStr">
        <is>
          <t>2026-04-10</t>
        </is>
      </c>
      <c r="E76" s="4" t="inlineStr">
        <is>
          <t>Docker</t>
        </is>
      </c>
      <c r="F76" s="4" t="inlineStr">
        <is>
          <t>Docker Compose</t>
        </is>
      </c>
      <c r="G76" s="4" t="inlineStr">
        <is>
          <t>Docker Compose Tutorial</t>
        </is>
      </c>
      <c r="H76" s="4" t="inlineStr">
        <is>
          <t>Multi-container app</t>
        </is>
      </c>
      <c r="I76" s="3" t="inlineStr">
        <is>
          <t>Not Started</t>
        </is>
      </c>
      <c r="J76" s="4" t="inlineStr"/>
      <c r="K76" s="4" t="inlineStr"/>
    </row>
    <row r="77">
      <c r="A77" s="3" t="n">
        <v>76</v>
      </c>
      <c r="B77" s="3" t="n">
        <v>19</v>
      </c>
      <c r="C77" s="4" t="inlineStr">
        <is>
          <t>2026-04-11</t>
        </is>
      </c>
      <c r="D77" s="4" t="inlineStr">
        <is>
          <t>2026-04-17</t>
        </is>
      </c>
      <c r="E77" s="4" t="inlineStr">
        <is>
          <t>Docker</t>
        </is>
      </c>
      <c r="F77" s="4" t="inlineStr">
        <is>
          <t>Container Best Practices</t>
        </is>
      </c>
      <c r="G77" s="4" t="inlineStr">
        <is>
          <t>Docker production best practices</t>
        </is>
      </c>
      <c r="H77" s="4" t="inlineStr">
        <is>
          <t>Optimize Docker images</t>
        </is>
      </c>
      <c r="I77" s="3" t="inlineStr">
        <is>
          <t>Not Started</t>
        </is>
      </c>
      <c r="J77" s="4" t="inlineStr"/>
      <c r="K77" s="4" t="inlineStr"/>
    </row>
    <row r="78">
      <c r="A78" s="3" t="n">
        <v>77</v>
      </c>
      <c r="B78" s="3" t="n">
        <v>20</v>
      </c>
      <c r="C78" s="4" t="inlineStr">
        <is>
          <t>2026-04-18</t>
        </is>
      </c>
      <c r="D78" s="4" t="inlineStr">
        <is>
          <t>2026-04-24</t>
        </is>
      </c>
      <c r="E78" s="4" t="inlineStr">
        <is>
          <t>Microservices</t>
        </is>
      </c>
      <c r="F78" s="4" t="inlineStr">
        <is>
          <t>Microservices Fundamentals</t>
        </is>
      </c>
      <c r="G78" s="4" t="inlineStr">
        <is>
          <t>Microsoft Microservices eBook</t>
        </is>
      </c>
      <c r="H78" s="4" t="inlineStr">
        <is>
          <t>Understand microservices</t>
        </is>
      </c>
      <c r="I78" s="3" t="inlineStr">
        <is>
          <t>Not Started</t>
        </is>
      </c>
      <c r="J78" s="4" t="inlineStr"/>
      <c r="K78" s="4" t="inlineStr"/>
    </row>
    <row r="79">
      <c r="A79" s="3" t="n">
        <v>78</v>
      </c>
      <c r="B79" s="3" t="n">
        <v>20</v>
      </c>
      <c r="C79" s="4" t="inlineStr">
        <is>
          <t>2026-04-25</t>
        </is>
      </c>
      <c r="D79" s="4" t="inlineStr">
        <is>
          <t>2026-05-01</t>
        </is>
      </c>
      <c r="E79" s="4" t="inlineStr">
        <is>
          <t>Microservices</t>
        </is>
      </c>
      <c r="F79" s="4" t="inlineStr">
        <is>
          <t>Service Communication</t>
        </is>
      </c>
      <c r="G79" s="4" t="inlineStr">
        <is>
          <t>gRPC &amp; REST comparison</t>
        </is>
      </c>
      <c r="H79" s="4" t="inlineStr">
        <is>
          <t>Implement service communication</t>
        </is>
      </c>
      <c r="I79" s="3" t="inlineStr">
        <is>
          <t>Not Started</t>
        </is>
      </c>
      <c r="J79" s="4" t="inlineStr"/>
      <c r="K79" s="4" t="inlineStr"/>
    </row>
    <row r="80">
      <c r="A80" s="3" t="n">
        <v>79</v>
      </c>
      <c r="B80" s="3" t="n">
        <v>20</v>
      </c>
      <c r="C80" s="4" t="inlineStr">
        <is>
          <t>2026-05-02</t>
        </is>
      </c>
      <c r="D80" s="4" t="inlineStr">
        <is>
          <t>2026-05-08</t>
        </is>
      </c>
      <c r="E80" s="4" t="inlineStr">
        <is>
          <t>Microservices</t>
        </is>
      </c>
      <c r="F80" s="4" t="inlineStr">
        <is>
          <t>API Gateway &amp; RabbitMQ</t>
        </is>
      </c>
      <c r="G80" s="4" t="inlineStr">
        <is>
          <t>Ocelot &amp; RabbitMQ tutorial</t>
        </is>
      </c>
      <c r="H80" s="4" t="inlineStr">
        <is>
          <t>Setup API Gateway &amp; messaging</t>
        </is>
      </c>
      <c r="I80" s="3" t="inlineStr">
        <is>
          <t>Not Started</t>
        </is>
      </c>
      <c r="J80" s="4" t="inlineStr"/>
      <c r="K80" s="4" t="inlineStr"/>
    </row>
    <row r="81">
      <c r="A81" s="3" t="n">
        <v>80</v>
      </c>
      <c r="B81" s="3" t="n">
        <v>20</v>
      </c>
      <c r="C81" s="4" t="inlineStr">
        <is>
          <t>2026-05-09</t>
        </is>
      </c>
      <c r="D81" s="4" t="inlineStr">
        <is>
          <t>2026-05-15</t>
        </is>
      </c>
      <c r="E81" s="4" t="inlineStr">
        <is>
          <t>Microservices</t>
        </is>
      </c>
      <c r="F81" s="4" t="inlineStr">
        <is>
          <t>Event-Driven Architecture</t>
        </is>
      </c>
      <c r="G81" s="4" t="inlineStr">
        <is>
          <t>Les Jackson Microservices</t>
        </is>
      </c>
      <c r="H81" s="4" t="inlineStr">
        <is>
          <t>E-commerce Microservices Project</t>
        </is>
      </c>
      <c r="I81" s="3" t="inlineStr">
        <is>
          <t>Not Started</t>
        </is>
      </c>
      <c r="J81" s="4" t="inlineStr"/>
      <c r="K81" s="4" t="inlineStr"/>
    </row>
    <row r="82">
      <c r="A82" s="3" t="n">
        <v>81</v>
      </c>
      <c r="B82" s="3" t="n">
        <v>21</v>
      </c>
      <c r="C82" s="4" t="inlineStr">
        <is>
          <t>2026-05-16</t>
        </is>
      </c>
      <c r="D82" s="4" t="inlineStr">
        <is>
          <t>2026-05-22</t>
        </is>
      </c>
      <c r="E82" s="4" t="inlineStr">
        <is>
          <t>CI/CD</t>
        </is>
      </c>
      <c r="F82" s="4" t="inlineStr">
        <is>
          <t>Git Advanced</t>
        </is>
      </c>
      <c r="G82" s="4" t="inlineStr">
        <is>
          <t>Git branching strategies</t>
        </is>
      </c>
      <c r="H82" s="4" t="inlineStr">
        <is>
          <t>Master GitFlow</t>
        </is>
      </c>
      <c r="I82" s="3" t="inlineStr">
        <is>
          <t>Not Started</t>
        </is>
      </c>
      <c r="J82" s="4" t="inlineStr"/>
      <c r="K82" s="4" t="inlineStr"/>
    </row>
    <row r="83">
      <c r="A83" s="3" t="n">
        <v>82</v>
      </c>
      <c r="B83" s="3" t="n">
        <v>21</v>
      </c>
      <c r="C83" s="4" t="inlineStr">
        <is>
          <t>2026-05-23</t>
        </is>
      </c>
      <c r="D83" s="4" t="inlineStr">
        <is>
          <t>2026-05-29</t>
        </is>
      </c>
      <c r="E83" s="4" t="inlineStr">
        <is>
          <t>CI/CD</t>
        </is>
      </c>
      <c r="F83" s="4" t="inlineStr">
        <is>
          <t>GitHub Actions</t>
        </is>
      </c>
      <c r="G83" s="4" t="inlineStr">
        <is>
          <t>GitHub Actions .NET Tutorial</t>
        </is>
      </c>
      <c r="H83" s="4" t="inlineStr">
        <is>
          <t>Create first pipeline</t>
        </is>
      </c>
      <c r="I83" s="3" t="inlineStr">
        <is>
          <t>Not Started</t>
        </is>
      </c>
      <c r="J83" s="4" t="inlineStr"/>
      <c r="K83" s="4" t="inlineStr"/>
    </row>
    <row r="84">
      <c r="A84" s="3" t="n">
        <v>83</v>
      </c>
      <c r="B84" s="3" t="n">
        <v>21</v>
      </c>
      <c r="C84" s="4" t="inlineStr">
        <is>
          <t>2026-05-30</t>
        </is>
      </c>
      <c r="D84" s="4" t="inlineStr">
        <is>
          <t>2026-06-05</t>
        </is>
      </c>
      <c r="E84" s="4" t="inlineStr">
        <is>
          <t>CI/CD</t>
        </is>
      </c>
      <c r="F84" s="4" t="inlineStr">
        <is>
          <t>Azure DevOps</t>
        </is>
      </c>
      <c r="G84" s="4" t="inlineStr">
        <is>
          <t>Azure Pipelines Documentation</t>
        </is>
      </c>
      <c r="H84" s="4" t="inlineStr">
        <is>
          <t>Setup Azure DevOps pipeline</t>
        </is>
      </c>
      <c r="I84" s="3" t="inlineStr">
        <is>
          <t>Not Started</t>
        </is>
      </c>
      <c r="J84" s="4" t="inlineStr"/>
      <c r="K84" s="4" t="inlineStr"/>
    </row>
    <row r="85">
      <c r="A85" s="3" t="n">
        <v>84</v>
      </c>
      <c r="B85" s="3" t="n">
        <v>21</v>
      </c>
      <c r="C85" s="4" t="inlineStr">
        <is>
          <t>2026-06-06</t>
        </is>
      </c>
      <c r="D85" s="4" t="inlineStr">
        <is>
          <t>2026-06-12</t>
        </is>
      </c>
      <c r="E85" s="4" t="inlineStr">
        <is>
          <t>CI/CD</t>
        </is>
      </c>
      <c r="F85" s="4" t="inlineStr">
        <is>
          <t>Complete Automation</t>
        </is>
      </c>
      <c r="G85" s="4" t="inlineStr">
        <is>
          <t>Full CI/CD implementation</t>
        </is>
      </c>
      <c r="H85" s="4" t="inlineStr">
        <is>
          <t>Automate all projects</t>
        </is>
      </c>
      <c r="I85" s="3" t="inlineStr">
        <is>
          <t>Not Started</t>
        </is>
      </c>
      <c r="J85" s="4" t="inlineStr"/>
      <c r="K85" s="4" t="inlineStr"/>
    </row>
    <row r="86">
      <c r="A86" s="3" t="n">
        <v>85</v>
      </c>
      <c r="B86" s="3" t="n">
        <v>22</v>
      </c>
      <c r="C86" s="4" t="inlineStr">
        <is>
          <t>2026-06-13</t>
        </is>
      </c>
      <c r="D86" s="4" t="inlineStr">
        <is>
          <t>2026-06-19</t>
        </is>
      </c>
      <c r="E86" s="4" t="inlineStr">
        <is>
          <t>Azure Cloud</t>
        </is>
      </c>
      <c r="F86" s="4" t="inlineStr">
        <is>
          <t>Azure Fundamentals|App Service</t>
        </is>
      </c>
      <c r="G86" s="4" t="inlineStr">
        <is>
          <t>Microsoft Learn Azure</t>
        </is>
      </c>
      <c r="H86" s="4" t="inlineStr">
        <is>
          <t>Deploy first app to Azure</t>
        </is>
      </c>
      <c r="I86" s="3" t="inlineStr">
        <is>
          <t>Not Started</t>
        </is>
      </c>
      <c r="J86" s="4" t="inlineStr"/>
      <c r="K86" s="4" t="inlineStr"/>
    </row>
    <row r="87">
      <c r="A87" s="3" t="n">
        <v>86</v>
      </c>
      <c r="B87" s="3" t="n">
        <v>22</v>
      </c>
      <c r="C87" s="4" t="inlineStr">
        <is>
          <t>2026-06-20</t>
        </is>
      </c>
      <c r="D87" s="4" t="inlineStr">
        <is>
          <t>2026-06-26</t>
        </is>
      </c>
      <c r="E87" s="4" t="inlineStr">
        <is>
          <t>Azure Cloud</t>
        </is>
      </c>
      <c r="F87" s="4" t="inlineStr">
        <is>
          <t>Azure SQL|Storage|Functions</t>
        </is>
      </c>
      <c r="G87" s="4" t="inlineStr">
        <is>
          <t>Azure Services Tutorial</t>
        </is>
      </c>
      <c r="H87" s="4" t="inlineStr">
        <is>
          <t>Use Azure SQL &amp; Blob Storage</t>
        </is>
      </c>
      <c r="I87" s="3" t="inlineStr">
        <is>
          <t>Not Started</t>
        </is>
      </c>
      <c r="J87" s="4" t="inlineStr"/>
      <c r="K87" s="4" t="inlineStr"/>
    </row>
    <row r="88">
      <c r="A88" s="3" t="n">
        <v>87</v>
      </c>
      <c r="B88" s="3" t="n">
        <v>22</v>
      </c>
      <c r="C88" s="4" t="inlineStr">
        <is>
          <t>2026-06-27</t>
        </is>
      </c>
      <c r="D88" s="4" t="inlineStr">
        <is>
          <t>2026-07-03</t>
        </is>
      </c>
      <c r="E88" s="4" t="inlineStr">
        <is>
          <t>Azure Cloud</t>
        </is>
      </c>
      <c r="F88" s="4" t="inlineStr">
        <is>
          <t>Azure Service Bus|Key Vault</t>
        </is>
      </c>
      <c r="G88" s="4" t="inlineStr">
        <is>
          <t>Azure Integration Services</t>
        </is>
      </c>
      <c r="H88" s="4" t="inlineStr">
        <is>
          <t>Implement messaging &amp; secrets</t>
        </is>
      </c>
      <c r="I88" s="3" t="inlineStr">
        <is>
          <t>Not Started</t>
        </is>
      </c>
      <c r="J88" s="4" t="inlineStr"/>
      <c r="K88" s="4" t="inlineStr"/>
    </row>
    <row r="89">
      <c r="A89" s="3" t="n">
        <v>88</v>
      </c>
      <c r="B89" s="3" t="n">
        <v>22</v>
      </c>
      <c r="C89" s="4" t="inlineStr">
        <is>
          <t>2026-07-04</t>
        </is>
      </c>
      <c r="D89" s="4" t="inlineStr">
        <is>
          <t>2026-07-10</t>
        </is>
      </c>
      <c r="E89" s="4" t="inlineStr">
        <is>
          <t>Azure Cloud</t>
        </is>
      </c>
      <c r="F89" s="4" t="inlineStr">
        <is>
          <t>Monitoring &amp; Optimization</t>
        </is>
      </c>
      <c r="G89" s="4" t="inlineStr">
        <is>
          <t>Application Insights</t>
        </is>
      </c>
      <c r="H89" s="4" t="inlineStr">
        <is>
          <t>Deploy microservices to Azure</t>
        </is>
      </c>
      <c r="I89" s="3" t="inlineStr">
        <is>
          <t>Not Started</t>
        </is>
      </c>
      <c r="J89" s="4" t="inlineStr"/>
      <c r="K89" s="4" t="inlineStr"/>
    </row>
    <row r="90">
      <c r="A90" s="3" t="n">
        <v>89</v>
      </c>
      <c r="B90" s="3" t="n">
        <v>23</v>
      </c>
      <c r="C90" s="4" t="inlineStr">
        <is>
          <t>2026-07-11</t>
        </is>
      </c>
      <c r="D90" s="4" t="inlineStr">
        <is>
          <t>2026-07-17</t>
        </is>
      </c>
      <c r="E90" s="4" t="inlineStr">
        <is>
          <t>Advanced .NET</t>
        </is>
      </c>
      <c r="F90" s="4" t="inlineStr">
        <is>
          <t>Performance Optimization</t>
        </is>
      </c>
      <c r="G90" s="4" t="inlineStr">
        <is>
          <t>Pro .NET Performance</t>
        </is>
      </c>
      <c r="H90" s="4" t="inlineStr">
        <is>
          <t>Use BenchmarkDotNet</t>
        </is>
      </c>
      <c r="I90" s="3" t="inlineStr">
        <is>
          <t>Not Started</t>
        </is>
      </c>
      <c r="J90" s="4" t="inlineStr"/>
      <c r="K90" s="4" t="inlineStr"/>
    </row>
    <row r="91">
      <c r="A91" s="3" t="n">
        <v>90</v>
      </c>
      <c r="B91" s="3" t="n">
        <v>23</v>
      </c>
      <c r="C91" s="4" t="inlineStr">
        <is>
          <t>2026-07-18</t>
        </is>
      </c>
      <c r="D91" s="4" t="inlineStr">
        <is>
          <t>2026-07-24</t>
        </is>
      </c>
      <c r="E91" s="4" t="inlineStr">
        <is>
          <t>Advanced .NET</t>
        </is>
      </c>
      <c r="F91" s="4" t="inlineStr">
        <is>
          <t>Caching with Redis</t>
        </is>
      </c>
      <c r="G91" s="4" t="inlineStr">
        <is>
          <t>Redis Documentation</t>
        </is>
      </c>
      <c r="H91" s="4" t="inlineStr">
        <is>
          <t>Implement caching strategies</t>
        </is>
      </c>
      <c r="I91" s="3" t="inlineStr">
        <is>
          <t>Not Started</t>
        </is>
      </c>
      <c r="J91" s="4" t="inlineStr"/>
      <c r="K91" s="4" t="inlineStr"/>
    </row>
    <row r="92">
      <c r="A92" s="3" t="n">
        <v>91</v>
      </c>
      <c r="B92" s="3" t="n">
        <v>23</v>
      </c>
      <c r="C92" s="4" t="inlineStr">
        <is>
          <t>2026-07-25</t>
        </is>
      </c>
      <c r="D92" s="4" t="inlineStr">
        <is>
          <t>2026-07-31</t>
        </is>
      </c>
      <c r="E92" s="4" t="inlineStr">
        <is>
          <t>Advanced .NET</t>
        </is>
      </c>
      <c r="F92" s="4" t="inlineStr">
        <is>
          <t>SignalR Real-time|Hangfire Jobs</t>
        </is>
      </c>
      <c r="G92" s="4" t="inlineStr">
        <is>
          <t>SignalR &amp; Hangfire tutorials</t>
        </is>
      </c>
      <c r="H92" s="4" t="inlineStr">
        <is>
          <t>Real-time notifications &amp; jobs</t>
        </is>
      </c>
      <c r="I92" s="3" t="inlineStr">
        <is>
          <t>Not Started</t>
        </is>
      </c>
      <c r="J92" s="4" t="inlineStr"/>
      <c r="K92" s="4" t="inlineStr"/>
    </row>
    <row r="93">
      <c r="A93" s="3" t="n">
        <v>92</v>
      </c>
      <c r="B93" s="3" t="n">
        <v>23</v>
      </c>
      <c r="C93" s="4" t="inlineStr">
        <is>
          <t>2026-08-01</t>
        </is>
      </c>
      <c r="D93" s="4" t="inlineStr">
        <is>
          <t>2026-08-07</t>
        </is>
      </c>
      <c r="E93" s="4" t="inlineStr">
        <is>
          <t>Advanced .NET</t>
        </is>
      </c>
      <c r="F93" s="4" t="inlineStr">
        <is>
          <t>GraphQL &amp; Security</t>
        </is>
      </c>
      <c r="G93" s="4" t="inlineStr">
        <is>
          <t>HotChocolate|OWASP Top 10</t>
        </is>
      </c>
      <c r="H93" s="4" t="inlineStr">
        <is>
          <t>Implement GraphQL &amp; security</t>
        </is>
      </c>
      <c r="I93" s="3" t="inlineStr">
        <is>
          <t>Not Started</t>
        </is>
      </c>
      <c r="J93" s="4" t="inlineStr"/>
      <c r="K93" s="4" t="inlineStr"/>
    </row>
    <row r="94">
      <c r="A94" s="3" t="n">
        <v>93</v>
      </c>
      <c r="B94" s="3" t="n">
        <v>24</v>
      </c>
      <c r="C94" s="4" t="inlineStr">
        <is>
          <t>2026-08-08</t>
        </is>
      </c>
      <c r="D94" s="4" t="inlineStr">
        <is>
          <t>2026-08-14</t>
        </is>
      </c>
      <c r="E94" s="4" t="inlineStr">
        <is>
          <t>Capstone Project</t>
        </is>
      </c>
      <c r="F94" s="4" t="inlineStr">
        <is>
          <t>Planning &amp; Architecture</t>
        </is>
      </c>
      <c r="G94" s="4" t="inlineStr">
        <is>
          <t>Social Media Platform</t>
        </is>
      </c>
      <c r="H94" s="4" t="inlineStr">
        <is>
          <t>Design complete architecture</t>
        </is>
      </c>
      <c r="I94" s="3" t="inlineStr">
        <is>
          <t>Not Started</t>
        </is>
      </c>
      <c r="J94" s="4" t="inlineStr"/>
      <c r="K94" s="4" t="inlineStr"/>
    </row>
    <row r="95">
      <c r="A95" s="3" t="n">
        <v>94</v>
      </c>
      <c r="B95" s="3" t="n">
        <v>24</v>
      </c>
      <c r="C95" s="4" t="inlineStr">
        <is>
          <t>2026-08-15</t>
        </is>
      </c>
      <c r="D95" s="4" t="inlineStr">
        <is>
          <t>2026-08-21</t>
        </is>
      </c>
      <c r="E95" s="4" t="inlineStr">
        <is>
          <t>Capstone Project</t>
        </is>
      </c>
      <c r="F95" s="4" t="inlineStr">
        <is>
          <t>Core Services Implementation</t>
        </is>
      </c>
      <c r="G95" s="4" t="inlineStr">
        <is>
          <t>Microservices development</t>
        </is>
      </c>
      <c r="H95" s="4" t="inlineStr">
        <is>
          <t>Implement core services</t>
        </is>
      </c>
      <c r="I95" s="3" t="inlineStr">
        <is>
          <t>Not Started</t>
        </is>
      </c>
      <c r="J95" s="4" t="inlineStr"/>
      <c r="K95" s="4" t="inlineStr"/>
    </row>
    <row r="96">
      <c r="A96" s="3" t="n">
        <v>95</v>
      </c>
      <c r="B96" s="3" t="n">
        <v>24</v>
      </c>
      <c r="C96" s="4" t="inlineStr">
        <is>
          <t>2026-08-22</t>
        </is>
      </c>
      <c r="D96" s="4" t="inlineStr">
        <is>
          <t>2026-08-28</t>
        </is>
      </c>
      <c r="E96" s="4" t="inlineStr">
        <is>
          <t>Capstone Project</t>
        </is>
      </c>
      <c r="F96" s="4" t="inlineStr">
        <is>
          <t>Advanced Features &amp; Integration</t>
        </is>
      </c>
      <c r="G96" s="4" t="inlineStr">
        <is>
          <t>Real-time chat &amp; notifications</t>
        </is>
      </c>
      <c r="H96" s="4" t="inlineStr">
        <is>
          <t>Complete all features</t>
        </is>
      </c>
      <c r="I96" s="3" t="inlineStr">
        <is>
          <t>Not Started</t>
        </is>
      </c>
      <c r="J96" s="4" t="inlineStr"/>
      <c r="K96" s="4" t="inlineStr"/>
    </row>
    <row r="97">
      <c r="A97" s="3" t="n">
        <v>96</v>
      </c>
      <c r="B97" s="3" t="n">
        <v>24</v>
      </c>
      <c r="C97" s="4" t="inlineStr">
        <is>
          <t>2026-08-29</t>
        </is>
      </c>
      <c r="D97" s="4" t="inlineStr">
        <is>
          <t>2026-09-04</t>
        </is>
      </c>
      <c r="E97" s="4" t="inlineStr">
        <is>
          <t>Capstone Project</t>
        </is>
      </c>
      <c r="F97" s="4" t="inlineStr">
        <is>
          <t>Testing|Deployment|Documentation</t>
        </is>
      </c>
      <c r="G97" s="4" t="inlineStr">
        <is>
          <t>Production deployment</t>
        </is>
      </c>
      <c r="H97" s="4" t="inlineStr">
        <is>
          <t>Deploy &amp; document project</t>
        </is>
      </c>
      <c r="I97" s="3" t="inlineStr">
        <is>
          <t>Not Started</t>
        </is>
      </c>
      <c r="J97" s="4" t="inlineStr"/>
      <c r="K9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5" t="inlineStr">
        <is>
          <t>.NET Developer Roadmap - Dashboard</t>
        </is>
      </c>
    </row>
    <row r="2">
      <c r="A2" s="6" t="inlineStr">
        <is>
          <t>Metric</t>
        </is>
      </c>
      <c r="B2" s="6" t="inlineStr">
        <is>
          <t>Value</t>
        </is>
      </c>
    </row>
    <row r="3">
      <c r="A3" s="7" t="inlineStr">
        <is>
          <t>Total Weeks</t>
        </is>
      </c>
      <c r="B3" s="8">
        <f>COUNTA('Roadmap Tracker'!A2:A97)</f>
        <v/>
      </c>
    </row>
    <row r="4">
      <c r="A4" s="9" t="inlineStr">
        <is>
          <t>Total Months</t>
        </is>
      </c>
      <c r="B4" s="3" t="inlineStr">
        <is>
          <t>24</t>
        </is>
      </c>
    </row>
    <row r="5">
      <c r="A5" s="9" t="inlineStr">
        <is>
          <t>Weeks Completed</t>
        </is>
      </c>
      <c r="B5" s="3">
        <f>COUNTIF('Roadmap Tracker'!I2:I97,"Completed")</f>
        <v/>
      </c>
    </row>
    <row r="6">
      <c r="A6" s="7" t="inlineStr">
        <is>
          <t>Weeks In Progress</t>
        </is>
      </c>
      <c r="B6" s="8">
        <f>COUNTIF('Roadmap Tracker'!I2:I97,"In Progress")</f>
        <v/>
      </c>
    </row>
    <row r="7">
      <c r="A7" s="7" t="inlineStr">
        <is>
          <t>Weeks Not Started</t>
        </is>
      </c>
      <c r="B7" s="8">
        <f>COUNTIF('Roadmap Tracker'!I2:I97,"Not Started")</f>
        <v/>
      </c>
    </row>
    <row r="8">
      <c r="A8" s="9" t="inlineStr">
        <is>
          <t>Overall Progress (%)</t>
        </is>
      </c>
      <c r="B8" s="3">
        <f>ROUND((C3/C1)*100,1)</f>
        <v/>
      </c>
    </row>
    <row r="9">
      <c r="A9" s="7" t="inlineStr">
        <is>
          <t>Current Week</t>
        </is>
      </c>
      <c r="B9" s="8">
        <f>IF(C3&gt;0,C3,IF(C4&gt;0,C3+C4,0))</f>
        <v/>
      </c>
    </row>
    <row r="10">
      <c r="A10" s="9" t="inlineStr">
        <is>
          <t>Expected Progress (%)</t>
        </is>
      </c>
      <c r="B10" s="3">
        <f>ROUND((C7/C1)*100,1)</f>
        <v/>
      </c>
    </row>
    <row r="11">
      <c r="A11" s="9" t="inlineStr">
        <is>
          <t>Ahead/Behind Schedule</t>
        </is>
      </c>
      <c r="B11" s="3">
        <f>C6-C8</f>
        <v/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Month</t>
        </is>
      </c>
      <c r="B1" s="6" t="inlineStr">
        <is>
          <t>Total Weeks</t>
        </is>
      </c>
      <c r="C1" s="6" t="inlineStr">
        <is>
          <t>Completed</t>
        </is>
      </c>
      <c r="D1" s="6" t="inlineStr">
        <is>
          <t>In Progress</t>
        </is>
      </c>
      <c r="E1" s="6" t="inlineStr">
        <is>
          <t>Not Started</t>
        </is>
      </c>
      <c r="F1" s="6" t="inlineStr">
        <is>
          <t>Progress (%)</t>
        </is>
      </c>
    </row>
    <row r="2">
      <c r="A2" s="3" t="n">
        <v>1</v>
      </c>
      <c r="B2" s="3" t="n">
        <v>4</v>
      </c>
      <c r="C2" s="3">
        <f>COUNTIFS('Roadmap Tracker'!B:B,1,'Roadmap Tracker'!I:I,"Completed")</f>
        <v/>
      </c>
      <c r="D2" s="3">
        <f>COUNTIFS('Roadmap Tracker'!B:B,1,'Roadmap Tracker'!I:I,"In Progress")</f>
        <v/>
      </c>
      <c r="E2" s="3">
        <f>COUNTIFS('Roadmap Tracker'!B:B,1,'Roadmap Tracker'!I:I,"Not Started")</f>
        <v/>
      </c>
      <c r="F2" s="3">
        <f>ROUND((C3/B3)*100,1)</f>
        <v/>
      </c>
    </row>
    <row r="3">
      <c r="A3" s="3" t="n">
        <v>2</v>
      </c>
      <c r="B3" s="3" t="n">
        <v>4</v>
      </c>
      <c r="C3" s="3">
        <f>COUNTIFS('Roadmap Tracker'!B:B,2,'Roadmap Tracker'!I:I,"Completed")</f>
        <v/>
      </c>
      <c r="D3" s="3">
        <f>COUNTIFS('Roadmap Tracker'!B:B,2,'Roadmap Tracker'!I:I,"In Progress")</f>
        <v/>
      </c>
      <c r="E3" s="3">
        <f>COUNTIFS('Roadmap Tracker'!B:B,2,'Roadmap Tracker'!I:I,"Not Started")</f>
        <v/>
      </c>
      <c r="F3" s="3">
        <f>ROUND((C4/B4)*100,1)</f>
        <v/>
      </c>
    </row>
    <row r="4">
      <c r="A4" s="3" t="n">
        <v>3</v>
      </c>
      <c r="B4" s="3" t="n">
        <v>4</v>
      </c>
      <c r="C4" s="3">
        <f>COUNTIFS('Roadmap Tracker'!B:B,3,'Roadmap Tracker'!I:I,"Completed")</f>
        <v/>
      </c>
      <c r="D4" s="3">
        <f>COUNTIFS('Roadmap Tracker'!B:B,3,'Roadmap Tracker'!I:I,"In Progress")</f>
        <v/>
      </c>
      <c r="E4" s="3">
        <f>COUNTIFS('Roadmap Tracker'!B:B,3,'Roadmap Tracker'!I:I,"Not Started")</f>
        <v/>
      </c>
      <c r="F4" s="3">
        <f>ROUND((C5/B5)*100,1)</f>
        <v/>
      </c>
    </row>
    <row r="5">
      <c r="A5" s="3" t="n">
        <v>4</v>
      </c>
      <c r="B5" s="3" t="n">
        <v>4</v>
      </c>
      <c r="C5" s="3">
        <f>COUNTIFS('Roadmap Tracker'!B:B,4,'Roadmap Tracker'!I:I,"Completed")</f>
        <v/>
      </c>
      <c r="D5" s="3">
        <f>COUNTIFS('Roadmap Tracker'!B:B,4,'Roadmap Tracker'!I:I,"In Progress")</f>
        <v/>
      </c>
      <c r="E5" s="3">
        <f>COUNTIFS('Roadmap Tracker'!B:B,4,'Roadmap Tracker'!I:I,"Not Started")</f>
        <v/>
      </c>
      <c r="F5" s="3">
        <f>ROUND((C6/B6)*100,1)</f>
        <v/>
      </c>
    </row>
    <row r="6">
      <c r="A6" s="3" t="n">
        <v>5</v>
      </c>
      <c r="B6" s="3" t="n">
        <v>4</v>
      </c>
      <c r="C6" s="3">
        <f>COUNTIFS('Roadmap Tracker'!B:B,5,'Roadmap Tracker'!I:I,"Completed")</f>
        <v/>
      </c>
      <c r="D6" s="3">
        <f>COUNTIFS('Roadmap Tracker'!B:B,5,'Roadmap Tracker'!I:I,"In Progress")</f>
        <v/>
      </c>
      <c r="E6" s="3">
        <f>COUNTIFS('Roadmap Tracker'!B:B,5,'Roadmap Tracker'!I:I,"Not Started")</f>
        <v/>
      </c>
      <c r="F6" s="3">
        <f>ROUND((C7/B7)*100,1)</f>
        <v/>
      </c>
    </row>
    <row r="7">
      <c r="A7" s="3" t="n">
        <v>6</v>
      </c>
      <c r="B7" s="3" t="n">
        <v>4</v>
      </c>
      <c r="C7" s="3">
        <f>COUNTIFS('Roadmap Tracker'!B:B,6,'Roadmap Tracker'!I:I,"Completed")</f>
        <v/>
      </c>
      <c r="D7" s="3">
        <f>COUNTIFS('Roadmap Tracker'!B:B,6,'Roadmap Tracker'!I:I,"In Progress")</f>
        <v/>
      </c>
      <c r="E7" s="3">
        <f>COUNTIFS('Roadmap Tracker'!B:B,6,'Roadmap Tracker'!I:I,"Not Started")</f>
        <v/>
      </c>
      <c r="F7" s="3">
        <f>ROUND((C8/B8)*100,1)</f>
        <v/>
      </c>
    </row>
    <row r="8">
      <c r="A8" s="3" t="n">
        <v>7</v>
      </c>
      <c r="B8" s="3" t="n">
        <v>4</v>
      </c>
      <c r="C8" s="3">
        <f>COUNTIFS('Roadmap Tracker'!B:B,7,'Roadmap Tracker'!I:I,"Completed")</f>
        <v/>
      </c>
      <c r="D8" s="3">
        <f>COUNTIFS('Roadmap Tracker'!B:B,7,'Roadmap Tracker'!I:I,"In Progress")</f>
        <v/>
      </c>
      <c r="E8" s="3">
        <f>COUNTIFS('Roadmap Tracker'!B:B,7,'Roadmap Tracker'!I:I,"Not Started")</f>
        <v/>
      </c>
      <c r="F8" s="3">
        <f>ROUND((C9/B9)*100,1)</f>
        <v/>
      </c>
    </row>
    <row r="9">
      <c r="A9" s="3" t="n">
        <v>8</v>
      </c>
      <c r="B9" s="3" t="n">
        <v>4</v>
      </c>
      <c r="C9" s="3">
        <f>COUNTIFS('Roadmap Tracker'!B:B,8,'Roadmap Tracker'!I:I,"Completed")</f>
        <v/>
      </c>
      <c r="D9" s="3">
        <f>COUNTIFS('Roadmap Tracker'!B:B,8,'Roadmap Tracker'!I:I,"In Progress")</f>
        <v/>
      </c>
      <c r="E9" s="3">
        <f>COUNTIFS('Roadmap Tracker'!B:B,8,'Roadmap Tracker'!I:I,"Not Started")</f>
        <v/>
      </c>
      <c r="F9" s="3">
        <f>ROUND((C10/B10)*100,1)</f>
        <v/>
      </c>
    </row>
    <row r="10">
      <c r="A10" s="3" t="n">
        <v>9</v>
      </c>
      <c r="B10" s="3" t="n">
        <v>4</v>
      </c>
      <c r="C10" s="3">
        <f>COUNTIFS('Roadmap Tracker'!B:B,9,'Roadmap Tracker'!I:I,"Completed")</f>
        <v/>
      </c>
      <c r="D10" s="3">
        <f>COUNTIFS('Roadmap Tracker'!B:B,9,'Roadmap Tracker'!I:I,"In Progress")</f>
        <v/>
      </c>
      <c r="E10" s="3">
        <f>COUNTIFS('Roadmap Tracker'!B:B,9,'Roadmap Tracker'!I:I,"Not Started")</f>
        <v/>
      </c>
      <c r="F10" s="3">
        <f>ROUND((C11/B11)*100,1)</f>
        <v/>
      </c>
    </row>
    <row r="11">
      <c r="A11" s="3" t="n">
        <v>10</v>
      </c>
      <c r="B11" s="3" t="n">
        <v>4</v>
      </c>
      <c r="C11" s="3">
        <f>COUNTIFS('Roadmap Tracker'!B:B,10,'Roadmap Tracker'!I:I,"Completed")</f>
        <v/>
      </c>
      <c r="D11" s="3">
        <f>COUNTIFS('Roadmap Tracker'!B:B,10,'Roadmap Tracker'!I:I,"In Progress")</f>
        <v/>
      </c>
      <c r="E11" s="3">
        <f>COUNTIFS('Roadmap Tracker'!B:B,10,'Roadmap Tracker'!I:I,"Not Started")</f>
        <v/>
      </c>
      <c r="F11" s="3">
        <f>ROUND((C12/B12)*100,1)</f>
        <v/>
      </c>
    </row>
    <row r="12">
      <c r="A12" s="3" t="n">
        <v>11</v>
      </c>
      <c r="B12" s="3" t="n">
        <v>4</v>
      </c>
      <c r="C12" s="3">
        <f>COUNTIFS('Roadmap Tracker'!B:B,11,'Roadmap Tracker'!I:I,"Completed")</f>
        <v/>
      </c>
      <c r="D12" s="3">
        <f>COUNTIFS('Roadmap Tracker'!B:B,11,'Roadmap Tracker'!I:I,"In Progress")</f>
        <v/>
      </c>
      <c r="E12" s="3">
        <f>COUNTIFS('Roadmap Tracker'!B:B,11,'Roadmap Tracker'!I:I,"Not Started")</f>
        <v/>
      </c>
      <c r="F12" s="3">
        <f>ROUND((C13/B13)*100,1)</f>
        <v/>
      </c>
    </row>
    <row r="13">
      <c r="A13" s="3" t="n">
        <v>12</v>
      </c>
      <c r="B13" s="3" t="n">
        <v>4</v>
      </c>
      <c r="C13" s="3">
        <f>COUNTIFS('Roadmap Tracker'!B:B,12,'Roadmap Tracker'!I:I,"Completed")</f>
        <v/>
      </c>
      <c r="D13" s="3">
        <f>COUNTIFS('Roadmap Tracker'!B:B,12,'Roadmap Tracker'!I:I,"In Progress")</f>
        <v/>
      </c>
      <c r="E13" s="3">
        <f>COUNTIFS('Roadmap Tracker'!B:B,12,'Roadmap Tracker'!I:I,"Not Started")</f>
        <v/>
      </c>
      <c r="F13" s="3">
        <f>ROUND((C14/B14)*100,1)</f>
        <v/>
      </c>
    </row>
    <row r="14">
      <c r="A14" s="3" t="n">
        <v>13</v>
      </c>
      <c r="B14" s="3" t="n">
        <v>4</v>
      </c>
      <c r="C14" s="3">
        <f>COUNTIFS('Roadmap Tracker'!B:B,13,'Roadmap Tracker'!I:I,"Completed")</f>
        <v/>
      </c>
      <c r="D14" s="3">
        <f>COUNTIFS('Roadmap Tracker'!B:B,13,'Roadmap Tracker'!I:I,"In Progress")</f>
        <v/>
      </c>
      <c r="E14" s="3">
        <f>COUNTIFS('Roadmap Tracker'!B:B,13,'Roadmap Tracker'!I:I,"Not Started")</f>
        <v/>
      </c>
      <c r="F14" s="3">
        <f>ROUND((C15/B15)*100,1)</f>
        <v/>
      </c>
    </row>
    <row r="15">
      <c r="A15" s="3" t="n">
        <v>14</v>
      </c>
      <c r="B15" s="3" t="n">
        <v>4</v>
      </c>
      <c r="C15" s="3">
        <f>COUNTIFS('Roadmap Tracker'!B:B,14,'Roadmap Tracker'!I:I,"Completed")</f>
        <v/>
      </c>
      <c r="D15" s="3">
        <f>COUNTIFS('Roadmap Tracker'!B:B,14,'Roadmap Tracker'!I:I,"In Progress")</f>
        <v/>
      </c>
      <c r="E15" s="3">
        <f>COUNTIFS('Roadmap Tracker'!B:B,14,'Roadmap Tracker'!I:I,"Not Started")</f>
        <v/>
      </c>
      <c r="F15" s="3">
        <f>ROUND((C16/B16)*100,1)</f>
        <v/>
      </c>
    </row>
    <row r="16">
      <c r="A16" s="3" t="n">
        <v>15</v>
      </c>
      <c r="B16" s="3" t="n">
        <v>4</v>
      </c>
      <c r="C16" s="3">
        <f>COUNTIFS('Roadmap Tracker'!B:B,15,'Roadmap Tracker'!I:I,"Completed")</f>
        <v/>
      </c>
      <c r="D16" s="3">
        <f>COUNTIFS('Roadmap Tracker'!B:B,15,'Roadmap Tracker'!I:I,"In Progress")</f>
        <v/>
      </c>
      <c r="E16" s="3">
        <f>COUNTIFS('Roadmap Tracker'!B:B,15,'Roadmap Tracker'!I:I,"Not Started")</f>
        <v/>
      </c>
      <c r="F16" s="3">
        <f>ROUND((C17/B17)*100,1)</f>
        <v/>
      </c>
    </row>
    <row r="17">
      <c r="A17" s="3" t="n">
        <v>16</v>
      </c>
      <c r="B17" s="3" t="n">
        <v>4</v>
      </c>
      <c r="C17" s="3">
        <f>COUNTIFS('Roadmap Tracker'!B:B,16,'Roadmap Tracker'!I:I,"Completed")</f>
        <v/>
      </c>
      <c r="D17" s="3">
        <f>COUNTIFS('Roadmap Tracker'!B:B,16,'Roadmap Tracker'!I:I,"In Progress")</f>
        <v/>
      </c>
      <c r="E17" s="3">
        <f>COUNTIFS('Roadmap Tracker'!B:B,16,'Roadmap Tracker'!I:I,"Not Started")</f>
        <v/>
      </c>
      <c r="F17" s="3">
        <f>ROUND((C18/B18)*100,1)</f>
        <v/>
      </c>
    </row>
    <row r="18">
      <c r="A18" s="3" t="n">
        <v>17</v>
      </c>
      <c r="B18" s="3" t="n">
        <v>4</v>
      </c>
      <c r="C18" s="3">
        <f>COUNTIFS('Roadmap Tracker'!B:B,17,'Roadmap Tracker'!I:I,"Completed")</f>
        <v/>
      </c>
      <c r="D18" s="3">
        <f>COUNTIFS('Roadmap Tracker'!B:B,17,'Roadmap Tracker'!I:I,"In Progress")</f>
        <v/>
      </c>
      <c r="E18" s="3">
        <f>COUNTIFS('Roadmap Tracker'!B:B,17,'Roadmap Tracker'!I:I,"Not Started")</f>
        <v/>
      </c>
      <c r="F18" s="3">
        <f>ROUND((C19/B19)*100,1)</f>
        <v/>
      </c>
    </row>
    <row r="19">
      <c r="A19" s="3" t="n">
        <v>18</v>
      </c>
      <c r="B19" s="3" t="n">
        <v>4</v>
      </c>
      <c r="C19" s="3">
        <f>COUNTIFS('Roadmap Tracker'!B:B,18,'Roadmap Tracker'!I:I,"Completed")</f>
        <v/>
      </c>
      <c r="D19" s="3">
        <f>COUNTIFS('Roadmap Tracker'!B:B,18,'Roadmap Tracker'!I:I,"In Progress")</f>
        <v/>
      </c>
      <c r="E19" s="3">
        <f>COUNTIFS('Roadmap Tracker'!B:B,18,'Roadmap Tracker'!I:I,"Not Started")</f>
        <v/>
      </c>
      <c r="F19" s="3">
        <f>ROUND((C20/B20)*100,1)</f>
        <v/>
      </c>
    </row>
    <row r="20">
      <c r="A20" s="3" t="n">
        <v>19</v>
      </c>
      <c r="B20" s="3" t="n">
        <v>4</v>
      </c>
      <c r="C20" s="3">
        <f>COUNTIFS('Roadmap Tracker'!B:B,19,'Roadmap Tracker'!I:I,"Completed")</f>
        <v/>
      </c>
      <c r="D20" s="3">
        <f>COUNTIFS('Roadmap Tracker'!B:B,19,'Roadmap Tracker'!I:I,"In Progress")</f>
        <v/>
      </c>
      <c r="E20" s="3">
        <f>COUNTIFS('Roadmap Tracker'!B:B,19,'Roadmap Tracker'!I:I,"Not Started")</f>
        <v/>
      </c>
      <c r="F20" s="3">
        <f>ROUND((C21/B21)*100,1)</f>
        <v/>
      </c>
    </row>
    <row r="21">
      <c r="A21" s="3" t="n">
        <v>20</v>
      </c>
      <c r="B21" s="3" t="n">
        <v>4</v>
      </c>
      <c r="C21" s="3">
        <f>COUNTIFS('Roadmap Tracker'!B:B,20,'Roadmap Tracker'!I:I,"Completed")</f>
        <v/>
      </c>
      <c r="D21" s="3">
        <f>COUNTIFS('Roadmap Tracker'!B:B,20,'Roadmap Tracker'!I:I,"In Progress")</f>
        <v/>
      </c>
      <c r="E21" s="3">
        <f>COUNTIFS('Roadmap Tracker'!B:B,20,'Roadmap Tracker'!I:I,"Not Started")</f>
        <v/>
      </c>
      <c r="F21" s="3">
        <f>ROUND((C22/B22)*100,1)</f>
        <v/>
      </c>
    </row>
    <row r="22">
      <c r="A22" s="3" t="n">
        <v>21</v>
      </c>
      <c r="B22" s="3" t="n">
        <v>4</v>
      </c>
      <c r="C22" s="3">
        <f>COUNTIFS('Roadmap Tracker'!B:B,21,'Roadmap Tracker'!I:I,"Completed")</f>
        <v/>
      </c>
      <c r="D22" s="3">
        <f>COUNTIFS('Roadmap Tracker'!B:B,21,'Roadmap Tracker'!I:I,"In Progress")</f>
        <v/>
      </c>
      <c r="E22" s="3">
        <f>COUNTIFS('Roadmap Tracker'!B:B,21,'Roadmap Tracker'!I:I,"Not Started")</f>
        <v/>
      </c>
      <c r="F22" s="3">
        <f>ROUND((C23/B23)*100,1)</f>
        <v/>
      </c>
    </row>
    <row r="23">
      <c r="A23" s="3" t="n">
        <v>22</v>
      </c>
      <c r="B23" s="3" t="n">
        <v>4</v>
      </c>
      <c r="C23" s="3">
        <f>COUNTIFS('Roadmap Tracker'!B:B,22,'Roadmap Tracker'!I:I,"Completed")</f>
        <v/>
      </c>
      <c r="D23" s="3">
        <f>COUNTIFS('Roadmap Tracker'!B:B,22,'Roadmap Tracker'!I:I,"In Progress")</f>
        <v/>
      </c>
      <c r="E23" s="3">
        <f>COUNTIFS('Roadmap Tracker'!B:B,22,'Roadmap Tracker'!I:I,"Not Started")</f>
        <v/>
      </c>
      <c r="F23" s="3">
        <f>ROUND((C24/B24)*100,1)</f>
        <v/>
      </c>
    </row>
    <row r="24">
      <c r="A24" s="3" t="n">
        <v>23</v>
      </c>
      <c r="B24" s="3" t="n">
        <v>4</v>
      </c>
      <c r="C24" s="3">
        <f>COUNTIFS('Roadmap Tracker'!B:B,23,'Roadmap Tracker'!I:I,"Completed")</f>
        <v/>
      </c>
      <c r="D24" s="3">
        <f>COUNTIFS('Roadmap Tracker'!B:B,23,'Roadmap Tracker'!I:I,"In Progress")</f>
        <v/>
      </c>
      <c r="E24" s="3">
        <f>COUNTIFS('Roadmap Tracker'!B:B,23,'Roadmap Tracker'!I:I,"Not Started")</f>
        <v/>
      </c>
      <c r="F24" s="3">
        <f>ROUND((C25/B25)*100,1)</f>
        <v/>
      </c>
    </row>
    <row r="25">
      <c r="A25" s="3" t="n">
        <v>24</v>
      </c>
      <c r="B25" s="3" t="n">
        <v>4</v>
      </c>
      <c r="C25" s="3">
        <f>COUNTIFS('Roadmap Tracker'!B:B,24,'Roadmap Tracker'!I:I,"Completed")</f>
        <v/>
      </c>
      <c r="D25" s="3">
        <f>COUNTIFS('Roadmap Tracker'!B:B,24,'Roadmap Tracker'!I:I,"In Progress")</f>
        <v/>
      </c>
      <c r="E25" s="3">
        <f>COUNTIFS('Roadmap Tracker'!B:B,24,'Roadmap Tracker'!I:I,"Not Started")</f>
        <v/>
      </c>
      <c r="F25" s="3">
        <f>ROUND((C26/B26)*100,1)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6" t="inlineStr">
        <is>
          <t>Topic</t>
        </is>
      </c>
      <c r="B1" s="6" t="inlineStr">
        <is>
          <t>Total Weeks</t>
        </is>
      </c>
      <c r="C1" s="6" t="inlineStr">
        <is>
          <t>Completed</t>
        </is>
      </c>
      <c r="D1" s="6" t="inlineStr">
        <is>
          <t>In Progress</t>
        </is>
      </c>
      <c r="E1" s="6" t="inlineStr">
        <is>
          <t>Progress (%)</t>
        </is>
      </c>
    </row>
    <row r="2">
      <c r="A2" s="9" t="inlineStr">
        <is>
          <t>C# Fundamentals</t>
        </is>
      </c>
      <c r="B2" s="3">
        <f>COUNTIF('Roadmap Tracker'!E:E,"C# Fundamentals")</f>
        <v/>
      </c>
      <c r="C2" s="3">
        <f>COUNTIFS('Roadmap Tracker'!E:E,"C# Fundamentals",'Roadmap Tracker'!I:I,"Completed")</f>
        <v/>
      </c>
      <c r="D2" s="3">
        <f>COUNTIFS('Roadmap Tracker'!E:E,"C# Fundamentals",'Roadmap Tracker'!I:I,"In Progress")</f>
        <v/>
      </c>
      <c r="E2" s="3">
        <f>IF(B2=0,0,ROUND((C2/B2)*100,1))</f>
        <v/>
      </c>
    </row>
    <row r="3">
      <c r="A3" s="9" t="inlineStr">
        <is>
          <t>OOP Basics</t>
        </is>
      </c>
      <c r="B3" s="3">
        <f>COUNTIF('Roadmap Tracker'!E:E,"OOP Basics")</f>
        <v/>
      </c>
      <c r="C3" s="3">
        <f>COUNTIFS('Roadmap Tracker'!E:E,"OOP Basics",'Roadmap Tracker'!I:I,"Completed")</f>
        <v/>
      </c>
      <c r="D3" s="3">
        <f>COUNTIFS('Roadmap Tracker'!E:E,"OOP Basics",'Roadmap Tracker'!I:I,"In Progress")</f>
        <v/>
      </c>
      <c r="E3" s="3">
        <f>IF(B3=0,0,ROUND((C3/B3)*100,1))</f>
        <v/>
      </c>
    </row>
    <row r="4">
      <c r="A4" s="9" t="inlineStr">
        <is>
          <t>OOP Advanced</t>
        </is>
      </c>
      <c r="B4" s="3">
        <f>COUNTIF('Roadmap Tracker'!E:E,"OOP Advanced")</f>
        <v/>
      </c>
      <c r="C4" s="3">
        <f>COUNTIFS('Roadmap Tracker'!E:E,"OOP Advanced",'Roadmap Tracker'!I:I,"Completed")</f>
        <v/>
      </c>
      <c r="D4" s="3">
        <f>COUNTIFS('Roadmap Tracker'!E:E,"OOP Advanced",'Roadmap Tracker'!I:I,"In Progress")</f>
        <v/>
      </c>
      <c r="E4" s="3">
        <f>IF(B4=0,0,ROUND((C4/B4)*100,1))</f>
        <v/>
      </c>
    </row>
    <row r="5">
      <c r="A5" s="9" t="inlineStr">
        <is>
          <t>C# Advanced Features</t>
        </is>
      </c>
      <c r="B5" s="3">
        <f>COUNTIF('Roadmap Tracker'!E:E,"C# Advanced Features")</f>
        <v/>
      </c>
      <c r="C5" s="3">
        <f>COUNTIFS('Roadmap Tracker'!E:E,"C# Advanced Features",'Roadmap Tracker'!I:I,"Completed")</f>
        <v/>
      </c>
      <c r="D5" s="3">
        <f>COUNTIFS('Roadmap Tracker'!E:E,"C# Advanced Features",'Roadmap Tracker'!I:I,"In Progress")</f>
        <v/>
      </c>
      <c r="E5" s="3">
        <f>IF(B5=0,0,ROUND((C5/B5)*100,1))</f>
        <v/>
      </c>
    </row>
    <row r="6">
      <c r="A6" s="9" t="inlineStr">
        <is>
          <t>Data Structures</t>
        </is>
      </c>
      <c r="B6" s="3">
        <f>COUNTIF('Roadmap Tracker'!E:E,"Data Structures")</f>
        <v/>
      </c>
      <c r="C6" s="3">
        <f>COUNTIFS('Roadmap Tracker'!E:E,"Data Structures",'Roadmap Tracker'!I:I,"Completed")</f>
        <v/>
      </c>
      <c r="D6" s="3">
        <f>COUNTIFS('Roadmap Tracker'!E:E,"Data Structures",'Roadmap Tracker'!I:I,"In Progress")</f>
        <v/>
      </c>
      <c r="E6" s="3">
        <f>IF(B6=0,0,ROUND((C6/B6)*100,1))</f>
        <v/>
      </c>
    </row>
    <row r="7">
      <c r="A7" s="9" t="inlineStr">
        <is>
          <t>Algorithms</t>
        </is>
      </c>
      <c r="B7" s="3">
        <f>COUNTIF('Roadmap Tracker'!E:E,"Algorithms")</f>
        <v/>
      </c>
      <c r="C7" s="3">
        <f>COUNTIFS('Roadmap Tracker'!E:E,"Algorithms",'Roadmap Tracker'!I:I,"Completed")</f>
        <v/>
      </c>
      <c r="D7" s="3">
        <f>COUNTIFS('Roadmap Tracker'!E:E,"Algorithms",'Roadmap Tracker'!I:I,"In Progress")</f>
        <v/>
      </c>
      <c r="E7" s="3">
        <f>IF(B7=0,0,ROUND((C7/B7)*100,1))</f>
        <v/>
      </c>
    </row>
    <row r="8">
      <c r="A8" s="9" t="inlineStr">
        <is>
          <t>Problem Solving</t>
        </is>
      </c>
      <c r="B8" s="3">
        <f>COUNTIF('Roadmap Tracker'!E:E,"Problem Solving")</f>
        <v/>
      </c>
      <c r="C8" s="3">
        <f>COUNTIFS('Roadmap Tracker'!E:E,"Problem Solving",'Roadmap Tracker'!I:I,"Completed")</f>
        <v/>
      </c>
      <c r="D8" s="3">
        <f>COUNTIFS('Roadmap Tracker'!E:E,"Problem Solving",'Roadmap Tracker'!I:I,"In Progress")</f>
        <v/>
      </c>
      <c r="E8" s="3">
        <f>IF(B8=0,0,ROUND((C8/B8)*100,1))</f>
        <v/>
      </c>
    </row>
    <row r="9">
      <c r="A9" s="9" t="inlineStr">
        <is>
          <t>SQL Server</t>
        </is>
      </c>
      <c r="B9" s="3">
        <f>COUNTIF('Roadmap Tracker'!E:E,"SQL Server")</f>
        <v/>
      </c>
      <c r="C9" s="3">
        <f>COUNTIFS('Roadmap Tracker'!E:E,"SQL Server",'Roadmap Tracker'!I:I,"Completed")</f>
        <v/>
      </c>
      <c r="D9" s="3">
        <f>COUNTIFS('Roadmap Tracker'!E:E,"SQL Server",'Roadmap Tracker'!I:I,"In Progress")</f>
        <v/>
      </c>
      <c r="E9" s="3">
        <f>IF(B9=0,0,ROUND((C9/B9)*100,1))</f>
        <v/>
      </c>
    </row>
    <row r="10">
      <c r="A10" s="9" t="inlineStr">
        <is>
          <t>Entity Framework Core</t>
        </is>
      </c>
      <c r="B10" s="3">
        <f>COUNTIF('Roadmap Tracker'!E:E,"Entity Framework Core")</f>
        <v/>
      </c>
      <c r="C10" s="3">
        <f>COUNTIFS('Roadmap Tracker'!E:E,"Entity Framework Core",'Roadmap Tracker'!I:I,"Completed")</f>
        <v/>
      </c>
      <c r="D10" s="3">
        <f>COUNTIFS('Roadmap Tracker'!E:E,"Entity Framework Core",'Roadmap Tracker'!I:I,"In Progress")</f>
        <v/>
      </c>
      <c r="E10" s="3">
        <f>IF(B10=0,0,ROUND((C10/B10)*100,1))</f>
        <v/>
      </c>
    </row>
    <row r="11">
      <c r="A11" s="9" t="inlineStr">
        <is>
          <t>Database Advanced</t>
        </is>
      </c>
      <c r="B11" s="3">
        <f>COUNTIF('Roadmap Tracker'!E:E,"Database Advanced")</f>
        <v/>
      </c>
      <c r="C11" s="3">
        <f>COUNTIFS('Roadmap Tracker'!E:E,"Database Advanced",'Roadmap Tracker'!I:I,"Completed")</f>
        <v/>
      </c>
      <c r="D11" s="3">
        <f>COUNTIFS('Roadmap Tracker'!E:E,"Database Advanced",'Roadmap Tracker'!I:I,"In Progress")</f>
        <v/>
      </c>
      <c r="E11" s="3">
        <f>IF(B11=0,0,ROUND((C11/B11)*100,1))</f>
        <v/>
      </c>
    </row>
    <row r="12">
      <c r="A12" s="9" t="inlineStr">
        <is>
          <t>ASP.NET Core Basics</t>
        </is>
      </c>
      <c r="B12" s="3">
        <f>COUNTIF('Roadmap Tracker'!E:E,"ASP.NET Core Basics")</f>
        <v/>
      </c>
      <c r="C12" s="3">
        <f>COUNTIFS('Roadmap Tracker'!E:E,"ASP.NET Core Basics",'Roadmap Tracker'!I:I,"Completed")</f>
        <v/>
      </c>
      <c r="D12" s="3">
        <f>COUNTIFS('Roadmap Tracker'!E:E,"ASP.NET Core Basics",'Roadmap Tracker'!I:I,"In Progress")</f>
        <v/>
      </c>
      <c r="E12" s="3">
        <f>IF(B12=0,0,ROUND((C12/B12)*100,1))</f>
        <v/>
      </c>
    </row>
    <row r="13">
      <c r="A13" s="9" t="inlineStr">
        <is>
          <t>ASP.NET Core Web API</t>
        </is>
      </c>
      <c r="B13" s="3">
        <f>COUNTIF('Roadmap Tracker'!E:E,"ASP.NET Core Web API")</f>
        <v/>
      </c>
      <c r="C13" s="3">
        <f>COUNTIFS('Roadmap Tracker'!E:E,"ASP.NET Core Web API",'Roadmap Tracker'!I:I,"Completed")</f>
        <v/>
      </c>
      <c r="D13" s="3">
        <f>COUNTIFS('Roadmap Tracker'!E:E,"ASP.NET Core Web API",'Roadmap Tracker'!I:I,"In Progress")</f>
        <v/>
      </c>
      <c r="E13" s="3">
        <f>IF(B13=0,0,ROUND((C13/B13)*100,1))</f>
        <v/>
      </c>
    </row>
    <row r="14">
      <c r="A14" s="9" t="inlineStr">
        <is>
          <t>ASP.NET Core MVC</t>
        </is>
      </c>
      <c r="B14" s="3">
        <f>COUNTIF('Roadmap Tracker'!E:E,"ASP.NET Core MVC")</f>
        <v/>
      </c>
      <c r="C14" s="3">
        <f>COUNTIFS('Roadmap Tracker'!E:E,"ASP.NET Core MVC",'Roadmap Tracker'!I:I,"Completed")</f>
        <v/>
      </c>
      <c r="D14" s="3">
        <f>COUNTIFS('Roadmap Tracker'!E:E,"ASP.NET Core MVC",'Roadmap Tracker'!I:I,"In Progress")</f>
        <v/>
      </c>
      <c r="E14" s="3">
        <f>IF(B14=0,0,ROUND((C14/B14)*100,1))</f>
        <v/>
      </c>
    </row>
    <row r="15">
      <c r="A15" s="9" t="inlineStr">
        <is>
          <t>ASP.NET Core Review</t>
        </is>
      </c>
      <c r="B15" s="3">
        <f>COUNTIF('Roadmap Tracker'!E:E,"ASP.NET Core Review")</f>
        <v/>
      </c>
      <c r="C15" s="3">
        <f>COUNTIFS('Roadmap Tracker'!E:E,"ASP.NET Core Review",'Roadmap Tracker'!I:I,"Completed")</f>
        <v/>
      </c>
      <c r="D15" s="3">
        <f>COUNTIFS('Roadmap Tracker'!E:E,"ASP.NET Core Review",'Roadmap Tracker'!I:I,"In Progress")</f>
        <v/>
      </c>
      <c r="E15" s="3">
        <f>IF(B15=0,0,ROUND((C15/B15)*100,1))</f>
        <v/>
      </c>
    </row>
    <row r="16">
      <c r="A16" s="9" t="inlineStr">
        <is>
          <t>Software Testing</t>
        </is>
      </c>
      <c r="B16" s="3">
        <f>COUNTIF('Roadmap Tracker'!E:E,"Software Testing")</f>
        <v/>
      </c>
      <c r="C16" s="3">
        <f>COUNTIFS('Roadmap Tracker'!E:E,"Software Testing",'Roadmap Tracker'!I:I,"Completed")</f>
        <v/>
      </c>
      <c r="D16" s="3">
        <f>COUNTIFS('Roadmap Tracker'!E:E,"Software Testing",'Roadmap Tracker'!I:I,"In Progress")</f>
        <v/>
      </c>
      <c r="E16" s="3">
        <f>IF(B16=0,0,ROUND((C16/B16)*100,1))</f>
        <v/>
      </c>
    </row>
    <row r="17">
      <c r="A17" s="9" t="inlineStr">
        <is>
          <t>Major Project #1</t>
        </is>
      </c>
      <c r="B17" s="3">
        <f>COUNTIF('Roadmap Tracker'!E:E,"Major Project #1")</f>
        <v/>
      </c>
      <c r="C17" s="3">
        <f>COUNTIFS('Roadmap Tracker'!E:E,"Major Project #1",'Roadmap Tracker'!I:I,"Completed")</f>
        <v/>
      </c>
      <c r="D17" s="3">
        <f>COUNTIFS('Roadmap Tracker'!E:E,"Major Project #1",'Roadmap Tracker'!I:I,"In Progress")</f>
        <v/>
      </c>
      <c r="E17" s="3">
        <f>IF(B17=0,0,ROUND((C17/B17)*100,1))</f>
        <v/>
      </c>
    </row>
    <row r="18">
      <c r="A18" s="9" t="inlineStr">
        <is>
          <t>Design Patterns</t>
        </is>
      </c>
      <c r="B18" s="3">
        <f>COUNTIF('Roadmap Tracker'!E:E,"Design Patterns")</f>
        <v/>
      </c>
      <c r="C18" s="3">
        <f>COUNTIFS('Roadmap Tracker'!E:E,"Design Patterns",'Roadmap Tracker'!I:I,"Completed")</f>
        <v/>
      </c>
      <c r="D18" s="3">
        <f>COUNTIFS('Roadmap Tracker'!E:E,"Design Patterns",'Roadmap Tracker'!I:I,"In Progress")</f>
        <v/>
      </c>
      <c r="E18" s="3">
        <f>IF(B18=0,0,ROUND((C18/B18)*100,1))</f>
        <v/>
      </c>
    </row>
    <row r="19">
      <c r="A19" s="9" t="inlineStr">
        <is>
          <t>SOLID Principles</t>
        </is>
      </c>
      <c r="B19" s="3">
        <f>COUNTIF('Roadmap Tracker'!E:E,"SOLID Principles")</f>
        <v/>
      </c>
      <c r="C19" s="3">
        <f>COUNTIFS('Roadmap Tracker'!E:E,"SOLID Principles",'Roadmap Tracker'!I:I,"Completed")</f>
        <v/>
      </c>
      <c r="D19" s="3">
        <f>COUNTIFS('Roadmap Tracker'!E:E,"SOLID Principles",'Roadmap Tracker'!I:I,"In Progress")</f>
        <v/>
      </c>
      <c r="E19" s="3">
        <f>IF(B19=0,0,ROUND((C19/B19)*100,1))</f>
        <v/>
      </c>
    </row>
    <row r="20">
      <c r="A20" s="9" t="inlineStr">
        <is>
          <t>Clean Architecture</t>
        </is>
      </c>
      <c r="B20" s="3">
        <f>COUNTIF('Roadmap Tracker'!E:E,"Clean Architecture")</f>
        <v/>
      </c>
      <c r="C20" s="3">
        <f>COUNTIFS('Roadmap Tracker'!E:E,"Clean Architecture",'Roadmap Tracker'!I:I,"Completed")</f>
        <v/>
      </c>
      <c r="D20" s="3">
        <f>COUNTIFS('Roadmap Tracker'!E:E,"Clean Architecture",'Roadmap Tracker'!I:I,"In Progress")</f>
        <v/>
      </c>
      <c r="E20" s="3">
        <f>IF(B20=0,0,ROUND((C20/B20)*100,1))</f>
        <v/>
      </c>
    </row>
    <row r="21">
      <c r="A21" s="9" t="inlineStr">
        <is>
          <t>CQRS &amp; MediatR</t>
        </is>
      </c>
      <c r="B21" s="3">
        <f>COUNTIF('Roadmap Tracker'!E:E,"CQRS &amp; MediatR")</f>
        <v/>
      </c>
      <c r="C21" s="3">
        <f>COUNTIFS('Roadmap Tracker'!E:E,"CQRS &amp; MediatR",'Roadmap Tracker'!I:I,"Completed")</f>
        <v/>
      </c>
      <c r="D21" s="3">
        <f>COUNTIFS('Roadmap Tracker'!E:E,"CQRS &amp; MediatR",'Roadmap Tracker'!I:I,"In Progress")</f>
        <v/>
      </c>
      <c r="E21" s="3">
        <f>IF(B21=0,0,ROUND((C21/B21)*100,1))</f>
        <v/>
      </c>
    </row>
    <row r="22">
      <c r="A22" s="9" t="inlineStr">
        <is>
          <t>Docker</t>
        </is>
      </c>
      <c r="B22" s="3">
        <f>COUNTIF('Roadmap Tracker'!E:E,"Docker")</f>
        <v/>
      </c>
      <c r="C22" s="3">
        <f>COUNTIFS('Roadmap Tracker'!E:E,"Docker",'Roadmap Tracker'!I:I,"Completed")</f>
        <v/>
      </c>
      <c r="D22" s="3">
        <f>COUNTIFS('Roadmap Tracker'!E:E,"Docker",'Roadmap Tracker'!I:I,"In Progress")</f>
        <v/>
      </c>
      <c r="E22" s="3">
        <f>IF(B22=0,0,ROUND((C22/B22)*100,1))</f>
        <v/>
      </c>
    </row>
    <row r="23">
      <c r="A23" s="9" t="inlineStr">
        <is>
          <t>Microservices</t>
        </is>
      </c>
      <c r="B23" s="3">
        <f>COUNTIF('Roadmap Tracker'!E:E,"Microservices")</f>
        <v/>
      </c>
      <c r="C23" s="3">
        <f>COUNTIFS('Roadmap Tracker'!E:E,"Microservices",'Roadmap Tracker'!I:I,"Completed")</f>
        <v/>
      </c>
      <c r="D23" s="3">
        <f>COUNTIFS('Roadmap Tracker'!E:E,"Microservices",'Roadmap Tracker'!I:I,"In Progress")</f>
        <v/>
      </c>
      <c r="E23" s="3">
        <f>IF(B23=0,0,ROUND((C23/B23)*100,1))</f>
        <v/>
      </c>
    </row>
    <row r="24">
      <c r="A24" s="9" t="inlineStr">
        <is>
          <t>CI/CD</t>
        </is>
      </c>
      <c r="B24" s="3">
        <f>COUNTIF('Roadmap Tracker'!E:E,"CI/CD")</f>
        <v/>
      </c>
      <c r="C24" s="3">
        <f>COUNTIFS('Roadmap Tracker'!E:E,"CI/CD",'Roadmap Tracker'!I:I,"Completed")</f>
        <v/>
      </c>
      <c r="D24" s="3">
        <f>COUNTIFS('Roadmap Tracker'!E:E,"CI/CD",'Roadmap Tracker'!I:I,"In Progress")</f>
        <v/>
      </c>
      <c r="E24" s="3">
        <f>IF(B24=0,0,ROUND((C24/B24)*100,1))</f>
        <v/>
      </c>
    </row>
    <row r="25">
      <c r="A25" s="9" t="inlineStr">
        <is>
          <t>Azure Cloud</t>
        </is>
      </c>
      <c r="B25" s="3">
        <f>COUNTIF('Roadmap Tracker'!E:E,"Azure Cloud")</f>
        <v/>
      </c>
      <c r="C25" s="3">
        <f>COUNTIFS('Roadmap Tracker'!E:E,"Azure Cloud",'Roadmap Tracker'!I:I,"Completed")</f>
        <v/>
      </c>
      <c r="D25" s="3">
        <f>COUNTIFS('Roadmap Tracker'!E:E,"Azure Cloud",'Roadmap Tracker'!I:I,"In Progress")</f>
        <v/>
      </c>
      <c r="E25" s="3">
        <f>IF(B25=0,0,ROUND((C25/B25)*100,1))</f>
        <v/>
      </c>
    </row>
    <row r="26">
      <c r="A26" s="9" t="inlineStr">
        <is>
          <t>Advanced .NET</t>
        </is>
      </c>
      <c r="B26" s="3">
        <f>COUNTIF('Roadmap Tracker'!E:E,"Advanced .NET")</f>
        <v/>
      </c>
      <c r="C26" s="3">
        <f>COUNTIFS('Roadmap Tracker'!E:E,"Advanced .NET",'Roadmap Tracker'!I:I,"Completed")</f>
        <v/>
      </c>
      <c r="D26" s="3">
        <f>COUNTIFS('Roadmap Tracker'!E:E,"Advanced .NET",'Roadmap Tracker'!I:I,"In Progress")</f>
        <v/>
      </c>
      <c r="E26" s="3">
        <f>IF(B26=0,0,ROUND((C26/B26)*100,1))</f>
        <v/>
      </c>
    </row>
    <row r="27">
      <c r="A27" s="9" t="inlineStr">
        <is>
          <t>Capstone Project</t>
        </is>
      </c>
      <c r="B27" s="3">
        <f>COUNTIF('Roadmap Tracker'!E:E,"Capstone Project")</f>
        <v/>
      </c>
      <c r="C27" s="3">
        <f>COUNTIFS('Roadmap Tracker'!E:E,"Capstone Project",'Roadmap Tracker'!I:I,"Completed")</f>
        <v/>
      </c>
      <c r="D27" s="3">
        <f>COUNTIFS('Roadmap Tracker'!E:E,"Capstone Project",'Roadmap Tracker'!I:I,"In Progress")</f>
        <v/>
      </c>
      <c r="E27" s="3">
        <f>IF(B27=0,0,ROUND((C27/B27)*100,1))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s="6" t="inlineStr">
        <is>
          <t>Instructions for Using This Tracker</t>
        </is>
      </c>
      <c r="B1" s="6" t="inlineStr">
        <is>
          <t>Description</t>
        </is>
      </c>
    </row>
    <row r="2" ht="30" customHeight="1">
      <c r="A2" s="10" t="inlineStr">
        <is>
          <t>1. Update Status Column</t>
        </is>
      </c>
      <c r="B2" s="10" t="inlineStr">
        <is>
          <t>In the "Roadmap Tracker" sheet, update the Status column (I) with: "Not Started", "In Progress", or "Completed"</t>
        </is>
      </c>
    </row>
    <row r="3" ht="30" customHeight="1">
      <c r="A3" s="11" t="inlineStr">
        <is>
          <t>2. Track Your Progress</t>
        </is>
      </c>
      <c r="B3" s="11" t="inlineStr">
        <is>
          <t>When you complete a week, add the completion date in column K and change status to "Completed"</t>
        </is>
      </c>
    </row>
    <row r="4" ht="30" customHeight="1">
      <c r="A4" s="11" t="inlineStr">
        <is>
          <t>3. View Dashboard</t>
        </is>
      </c>
      <c r="B4" s="11" t="inlineStr">
        <is>
          <t>The Dashboard sheet automatically calculates your overall progress and shows if you are on track</t>
        </is>
      </c>
    </row>
    <row r="5" ht="30" customHeight="1">
      <c r="A5" s="11" t="inlineStr">
        <is>
          <t>4. Monitor Monthly Progress</t>
        </is>
      </c>
      <c r="B5" s="11" t="inlineStr">
        <is>
          <t>Track your progress month by month to ensure you are meeting your goals</t>
        </is>
      </c>
    </row>
    <row r="6" ht="30" customHeight="1">
      <c r="A6" s="11" t="inlineStr">
        <is>
          <t>5. Review Topics Progress</t>
        </is>
      </c>
      <c r="B6" s="11" t="inlineStr">
        <is>
          <t>See which topics you have completed and which ones need more work</t>
        </is>
      </c>
    </row>
    <row r="7" ht="30" customHeight="1">
      <c r="A7" s="11" t="inlineStr">
        <is>
          <t>6. Tips for Success</t>
        </is>
      </c>
      <c r="B7" s="11" t="inlineStr">
        <is>
          <t>Be consistent, practice daily, and don't skip the fundamentals!</t>
        </is>
      </c>
    </row>
    <row r="8" ht="30" customHeight="1">
      <c r="A8" s="11" t="inlineStr"/>
      <c r="B8" s="11" t="inlineStr"/>
    </row>
    <row r="9" ht="30" customHeight="1">
      <c r="A9" s="10" t="inlineStr">
        <is>
          <t>Status Values:</t>
        </is>
      </c>
      <c r="B9" s="10" t="inlineStr">
        <is>
          <t>• Not Started - You haven't started this week yet</t>
        </is>
      </c>
    </row>
    <row r="10" ht="60" customHeight="1">
      <c r="A10" s="10" t="inlineStr">
        <is>
          <t>How to Update:</t>
        </is>
      </c>
      <c r="B10" s="10" t="inlineStr">
        <is>
          <t>1. Open "Roadmap Tracker" sheet
2. Find current week row
3. Update Status in column I
4. Add notes in column J if needed
5. Add completion date in column K when done</t>
        </is>
      </c>
    </row>
    <row r="11" ht="60" customHeight="1">
      <c r="A11" s="10" t="inlineStr">
        <is>
          <t>Dashboard Features:</t>
        </is>
      </c>
      <c r="B11" s="10" t="inlineStr">
        <is>
          <t>• Total weeks, months, and completion statistics
• Progress percentage
• Ahead/Behind schedule indicator
• Visual charts (if Excel supports)</t>
        </is>
      </c>
    </row>
    <row r="12" ht="60" customHeight="1">
      <c r="A12" s="10" t="inlineStr">
        <is>
          <t>Monthly Progress:</t>
        </is>
      </c>
      <c r="B12" s="10" t="inlineStr">
        <is>
          <t>• Shows progress for each of the 24 months
• Helps you track if you are on schedule
• Identifies months needing more focus</t>
        </is>
      </c>
    </row>
    <row r="13" ht="60" customHeight="1">
      <c r="A13" s="10" t="inlineStr">
        <is>
          <t>Topics Progress:</t>
        </is>
      </c>
      <c r="B13" s="10" t="inlineStr">
        <is>
          <t>• Breaks down progress by topic area
• Helps identify strengths and weaknesses
• Guides study focus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2025-11-02T21:31:17Z</dcterms:created>
  <dcterms:modified xsi:type="dcterms:W3CDTF">2025-11-02T21:31:17Z</dcterms:modified>
</cp:coreProperties>
</file>